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13.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35" windowWidth="20115" windowHeight="7935" activeTab="13"/>
  </bookViews>
  <sheets>
    <sheet name="Pr1" sheetId="1" r:id="rId1"/>
    <sheet name="Pr2" sheetId="2" r:id="rId2"/>
    <sheet name="Pr3" sheetId="3" r:id="rId3"/>
    <sheet name="Pr4" sheetId="4" r:id="rId4"/>
    <sheet name="Pr5-macro" sheetId="5" r:id="rId5"/>
    <sheet name="Pr6" sheetId="7" r:id="rId6"/>
    <sheet name="Pr7" sheetId="8" r:id="rId7"/>
    <sheet name="Pr8" sheetId="9" r:id="rId8"/>
    <sheet name="Pr9" sheetId="10" r:id="rId9"/>
    <sheet name="Pr10" sheetId="11" r:id="rId10"/>
    <sheet name="Pr11" sheetId="12" r:id="rId11"/>
    <sheet name="Pr12" sheetId="13" r:id="rId12"/>
    <sheet name="Pr13" sheetId="14" r:id="rId13"/>
    <sheet name="Hoja1" sheetId="15" r:id="rId14"/>
  </sheets>
  <functionGroups builtInGroupCount="17"/>
  <definedNames>
    <definedName name="Tienda1">Hoja1!$H$8:$H$10</definedName>
    <definedName name="Tienda2">Hoja1!$I$8:$I$11</definedName>
    <definedName name="Tienda3">Hoja1!$J$8:$J$13</definedName>
    <definedName name="Tienda4">Hoja1!$K$8:$K$9</definedName>
    <definedName name="Tiendas">Hoja1!$H$2:$H$5</definedName>
  </definedNames>
  <calcPr calcId="145621"/>
</workbook>
</file>

<file path=xl/calcChain.xml><?xml version="1.0" encoding="utf-8"?>
<calcChain xmlns="http://schemas.openxmlformats.org/spreadsheetml/2006/main">
  <c r="A4" i="14" l="1"/>
  <c r="B17" i="13"/>
  <c r="B16" i="13"/>
  <c r="B21" i="13"/>
  <c r="B19" i="12" l="1"/>
  <c r="B15" i="12"/>
  <c r="B9" i="14"/>
  <c r="B4" i="12"/>
  <c r="B2" i="12"/>
  <c r="B3" i="12"/>
  <c r="F9" i="12"/>
  <c r="B7" i="12"/>
  <c r="B5" i="12"/>
  <c r="B6" i="12"/>
  <c r="A17" i="12"/>
  <c r="A27" i="14" l="1"/>
  <c r="A23" i="14"/>
  <c r="D13" i="14"/>
  <c r="C13" i="14"/>
  <c r="E5" i="15"/>
</calcChain>
</file>

<file path=xl/sharedStrings.xml><?xml version="1.0" encoding="utf-8"?>
<sst xmlns="http://schemas.openxmlformats.org/spreadsheetml/2006/main" count="355" uniqueCount="323">
  <si>
    <t>BIENVENIDO</t>
  </si>
  <si>
    <t xml:space="preserve">HOLA </t>
  </si>
  <si>
    <t>Valor de esprimo = Verdadero</t>
  </si>
  <si>
    <t>_x0002_</t>
  </si>
  <si>
    <t>_x0003_</t>
  </si>
  <si>
    <t>_x0004_</t>
  </si>
  <si>
    <t>_x0005_</t>
  </si>
  <si>
    <t>_x0006_</t>
  </si>
  <si>
    <t>_x0007_</t>
  </si>
  <si>
    <t>_x0008_</t>
  </si>
  <si>
    <t xml:space="preserve">	</t>
  </si>
  <si>
    <t xml:space="preserve">
</t>
  </si>
  <si>
    <t>_x000B_</t>
  </si>
  <si>
    <t>_x000C_</t>
  </si>
  <si>
    <t>_x000D_</t>
  </si>
  <si>
    <t>_x000E_</t>
  </si>
  <si>
    <t>_x000F_</t>
  </si>
  <si>
    <t>_x0010_</t>
  </si>
  <si>
    <t>_x0011_</t>
  </si>
  <si>
    <t>_x0012_</t>
  </si>
  <si>
    <t>_x0013_</t>
  </si>
  <si>
    <t>_x0014_</t>
  </si>
  <si>
    <t>_x0015_</t>
  </si>
  <si>
    <t>_x0016_</t>
  </si>
  <si>
    <t>_x0017_</t>
  </si>
  <si>
    <t>_x0018_</t>
  </si>
  <si>
    <t>_x0019_</t>
  </si>
  <si>
    <t>_x001A_</t>
  </si>
  <si>
    <t>_x001B_</t>
  </si>
  <si>
    <t>_x001C_</t>
  </si>
  <si>
    <t>_x001D_</t>
  </si>
  <si>
    <t>_x001E_</t>
  </si>
  <si>
    <t>_x001F_</t>
  </si>
  <si>
    <t xml:space="preserve"> </t>
  </si>
  <si>
    <t>!</t>
  </si>
  <si>
    <t>"</t>
  </si>
  <si>
    <t>#</t>
  </si>
  <si>
    <t>$</t>
  </si>
  <si>
    <t>%</t>
  </si>
  <si>
    <t>&amp;</t>
  </si>
  <si>
    <t>(</t>
  </si>
  <si>
    <t>)</t>
  </si>
  <si>
    <t>*</t>
  </si>
  <si>
    <t>+</t>
  </si>
  <si>
    <t>,</t>
  </si>
  <si>
    <t>-</t>
  </si>
  <si>
    <t>.</t>
  </si>
  <si>
    <t>/</t>
  </si>
  <si>
    <t>:</t>
  </si>
  <si>
    <t>;</t>
  </si>
  <si>
    <t>&lt;</t>
  </si>
  <si>
    <t>=</t>
  </si>
  <si>
    <t>&gt;</t>
  </si>
  <si>
    <t>?</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</si>
  <si>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</si>
  <si>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</si>
  <si>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</si>
  <si>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</si>
  <si>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</si>
  <si>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</si>
  <si>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</si>
  <si>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</si>
  <si>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</si>
  <si>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</si>
  <si>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</si>
  <si>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</si>
  <si>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</si>
  <si>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</si>
  <si>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</si>
  <si>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</si>
  <si>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</si>
  <si>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</si>
  <si>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</si>
  <si>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</si>
  <si>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</si>
  <si>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</si>
  <si>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</si>
  <si>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</si>
  <si>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</si>
  <si>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</si>
  <si>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</si>
  <si>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</si>
  <si>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</si>
  <si>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</si>
  <si>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</si>
  <si>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</si>
  <si>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</si>
  <si>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</si>
  <si>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</si>
  <si>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</si>
  <si>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</si>
  <si>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</si>
  <si>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</si>
  <si>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</si>
  <si>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</si>
  <si>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</si>
  <si>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</si>
  <si>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</si>
  <si>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</si>
  <si>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</si>
  <si>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</si>
  <si>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</si>
  <si>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</si>
  <si>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</si>
  <si>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</si>
  <si>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</si>
  <si>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</si>
  <si>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</si>
  <si>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</si>
  <si>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</si>
  <si>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</si>
  <si>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</si>
  <si>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</si>
  <si>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</si>
  <si>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</si>
  <si>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</si>
  <si>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</si>
  <si>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</si>
  <si>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t>
  </si>
  <si>
    <t>ƒ</t>
  </si>
  <si>
    <t>„</t>
  </si>
  <si>
    <t>…</t>
  </si>
  <si>
    <t>†</t>
  </si>
  <si>
    <t>‡</t>
  </si>
  <si>
    <t>ˆ</t>
  </si>
  <si>
    <t>‰</t>
  </si>
  <si>
    <t>Š</t>
  </si>
  <si>
    <t>‹</t>
  </si>
  <si>
    <t>Œ</t>
  </si>
  <si>
    <t>Ž</t>
  </si>
  <si>
    <t>‘</t>
  </si>
  <si>
    <t>’</t>
  </si>
  <si>
    <t>“</t>
  </si>
  <si>
    <t>”</t>
  </si>
  <si>
    <t>•</t>
  </si>
  <si>
    <t>–</t>
  </si>
  <si>
    <t>—</t>
  </si>
  <si>
    <t>˜</t>
  </si>
  <si>
    <t>™</t>
  </si>
  <si>
    <t>š</t>
  </si>
  <si>
    <t>›</t>
  </si>
  <si>
    <t>œ</t>
  </si>
  <si>
    <t>ž</t>
  </si>
  <si>
    <t>Ÿ</t>
  </si>
  <si>
    <t> </t>
  </si>
  <si>
    <t>¡</t>
  </si>
  <si>
    <t>¢</t>
  </si>
  <si>
    <t>£</t>
  </si>
  <si>
    <t>¤</t>
  </si>
  <si>
    <t>¥</t>
  </si>
  <si>
    <t>¦</t>
  </si>
  <si>
    <t>§</t>
  </si>
  <si>
    <t>¨</t>
  </si>
  <si>
    <t>©</t>
  </si>
  <si>
    <t>ª</t>
  </si>
  <si>
    <t>«</t>
  </si>
  <si>
    <t>¬</t>
  </si>
  <si>
    <t>­</t>
  </si>
  <si>
    <t>®</t>
  </si>
  <si>
    <t>¯</t>
  </si>
  <si>
    <t>°</t>
  </si>
  <si>
    <t>±</t>
  </si>
  <si>
    <t>²</t>
  </si>
  <si>
    <t>³</t>
  </si>
  <si>
    <t>´</t>
  </si>
  <si>
    <t>µ</t>
  </si>
  <si>
    <t>¶</t>
  </si>
  <si>
    <t>·</t>
  </si>
  <si>
    <t>¸</t>
  </si>
  <si>
    <t>¹</t>
  </si>
  <si>
    <t>º</t>
  </si>
  <si>
    <t>»</t>
  </si>
  <si>
    <t>¼</t>
  </si>
  <si>
    <t>½</t>
  </si>
  <si>
    <t>¾</t>
  </si>
  <si>
    <t>¿</t>
  </si>
  <si>
    <t>À</t>
  </si>
  <si>
    <t>Á</t>
  </si>
  <si>
    <t>Â</t>
  </si>
  <si>
    <t>Ã</t>
  </si>
  <si>
    <t>Ä</t>
  </si>
  <si>
    <t>Å</t>
  </si>
  <si>
    <t>Æ</t>
  </si>
  <si>
    <t>Ç</t>
  </si>
  <si>
    <t>È</t>
  </si>
  <si>
    <t>É</t>
  </si>
  <si>
    <t>Ê</t>
  </si>
  <si>
    <t>Ë</t>
  </si>
  <si>
    <t>Ì</t>
  </si>
  <si>
    <t>Í</t>
  </si>
  <si>
    <t>Î</t>
  </si>
  <si>
    <t>Ï</t>
  </si>
  <si>
    <t>Ð</t>
  </si>
  <si>
    <t>Ñ</t>
  </si>
  <si>
    <t>Ò</t>
  </si>
  <si>
    <t>Ó</t>
  </si>
  <si>
    <t>Ô</t>
  </si>
  <si>
    <t>Õ</t>
  </si>
  <si>
    <t>Ö</t>
  </si>
  <si>
    <t>×</t>
  </si>
  <si>
    <t>Ø</t>
  </si>
  <si>
    <t>Ù</t>
  </si>
  <si>
    <t>Ú</t>
  </si>
  <si>
    <t>Û</t>
  </si>
  <si>
    <t>Ü</t>
  </si>
  <si>
    <t>Ý</t>
  </si>
  <si>
    <t>Þ</t>
  </si>
  <si>
    <t>ß</t>
  </si>
  <si>
    <t>à</t>
  </si>
  <si>
    <t>á</t>
  </si>
  <si>
    <t>â</t>
  </si>
  <si>
    <t>ã</t>
  </si>
  <si>
    <t>ä</t>
  </si>
  <si>
    <t>å</t>
  </si>
  <si>
    <t>æ</t>
  </si>
  <si>
    <t>ç</t>
  </si>
  <si>
    <t>è</t>
  </si>
  <si>
    <t>é</t>
  </si>
  <si>
    <t>ê</t>
  </si>
  <si>
    <t>ë</t>
  </si>
  <si>
    <t>ì</t>
  </si>
  <si>
    <t>í</t>
  </si>
  <si>
    <t>î</t>
  </si>
  <si>
    <t>ï</t>
  </si>
  <si>
    <t>ð</t>
  </si>
  <si>
    <t>ñ</t>
  </si>
  <si>
    <t>ò</t>
  </si>
  <si>
    <t>ó</t>
  </si>
  <si>
    <t>ô</t>
  </si>
  <si>
    <t>õ</t>
  </si>
  <si>
    <t>ö</t>
  </si>
  <si>
    <t>÷</t>
  </si>
  <si>
    <t>ø</t>
  </si>
  <si>
    <t>ù</t>
  </si>
  <si>
    <t>ú</t>
  </si>
  <si>
    <t>û</t>
  </si>
  <si>
    <t>ü</t>
  </si>
  <si>
    <t>ý</t>
  </si>
  <si>
    <t>þ</t>
  </si>
  <si>
    <t>ÿ</t>
  </si>
  <si>
    <t>Petreo</t>
  </si>
  <si>
    <t></t>
  </si>
  <si>
    <t>primera cadena de caracteres</t>
  </si>
  <si>
    <t>segunda cadena de caracteres</t>
  </si>
  <si>
    <t>tercera cadena de caracteres</t>
  </si>
  <si>
    <t>cuarta cadena de caracteres</t>
  </si>
  <si>
    <t>quinta cadena de caracteres</t>
  </si>
  <si>
    <t>sexta cadena de caracteres</t>
  </si>
  <si>
    <t>Funcion personalizada suma</t>
  </si>
  <si>
    <t>Longitud de la cadena de texto</t>
  </si>
  <si>
    <t>B1;B2;B3</t>
  </si>
  <si>
    <t>Cadena original</t>
  </si>
  <si>
    <t>cadena reemplazada</t>
  </si>
  <si>
    <t>B1,B2,B3</t>
  </si>
  <si>
    <t>**850005256325</t>
  </si>
  <si>
    <t>blablabla &gt; texto a extraer cualquiera &lt;123</t>
  </si>
  <si>
    <t>Manera 1</t>
  </si>
  <si>
    <t>Manera 2</t>
  </si>
  <si>
    <t>ZAZA,ZAZA1,ZAZA11, ZAZA252, ZA345ZA</t>
  </si>
  <si>
    <t>Encontrar ZAZA, quitando los números y sabiendo que a veces se pueden encontrar también ZAZA11, ZAZA252 y hasta ZA345ZA.</t>
  </si>
  <si>
    <t>Jamás olvides que tú vida es más grande que tus miedos que tus fuerzas son mayores que tus dudas.
Que aunque tu mente esté confundida tu corazón siempre sabrá la respuesta.
Con el tiempo lo que hoy es difícil mañana será un tesoro.
Pelea por lo que realmente te llene el alma y ten la virtud de saber esperar porque todo lo que tiene que ser será.</t>
  </si>
  <si>
    <t>Jamás olvides que</t>
  </si>
  <si>
    <t>grande que tus</t>
  </si>
  <si>
    <t>miedos que tus</t>
  </si>
  <si>
    <t>fuerzas son mayores</t>
  </si>
  <si>
    <t>que tus dudas.</t>
  </si>
  <si>
    <t>Jamás olvides que tienes vidas es más grande que tus miedos que tus fuerzas son mayores que tus dudas.</t>
  </si>
  <si>
    <t>tienes vidas es más</t>
  </si>
  <si>
    <t>Conseguir con una fórmula de la hoja extraer la última palabra de una frase.</t>
  </si>
  <si>
    <t>Con el tiempo lo que hoy es dificil mañana será un tesoro.</t>
  </si>
  <si>
    <t>B2</t>
  </si>
  <si>
    <t>B3</t>
  </si>
  <si>
    <t>Jorge</t>
  </si>
  <si>
    <t>B14</t>
  </si>
  <si>
    <t>Hola</t>
  </si>
  <si>
    <t>Hello</t>
  </si>
  <si>
    <t>B15</t>
  </si>
  <si>
    <t>Hi</t>
  </si>
  <si>
    <t>Aloha</t>
  </si>
  <si>
    <t>Borrar el carácter situado más a la derecha en una celda.</t>
  </si>
  <si>
    <t>Verificar que una cadena de caracteres se encuentre en una celda o en una variable.</t>
  </si>
  <si>
    <t>Datos de ejemplos</t>
  </si>
  <si>
    <t>Tiendas</t>
  </si>
  <si>
    <t>Tienda1</t>
  </si>
  <si>
    <t>Tienda2</t>
  </si>
  <si>
    <t>Tienda3</t>
  </si>
  <si>
    <t>Deportes</t>
  </si>
  <si>
    <t>Damas</t>
  </si>
  <si>
    <t>Cristaleria</t>
  </si>
  <si>
    <t>Niños</t>
  </si>
  <si>
    <t>Caballeros</t>
  </si>
  <si>
    <t>Informática</t>
  </si>
  <si>
    <t>Electrónica</t>
  </si>
  <si>
    <t>Tienda4</t>
  </si>
  <si>
    <t>Ferreteria</t>
  </si>
  <si>
    <t>Jugueteria</t>
  </si>
  <si>
    <t>Floristeria</t>
  </si>
  <si>
    <t>Jardineria</t>
  </si>
  <si>
    <t>Tienda</t>
  </si>
  <si>
    <t>Departamento</t>
  </si>
  <si>
    <t>Valor introducido = 5</t>
  </si>
  <si>
    <r>
      <t xml:space="preserve">En trigonometría, el </t>
    </r>
    <r>
      <rPr>
        <b/>
        <sz val="11"/>
        <color theme="1"/>
        <rFont val="Calibri"/>
        <family val="2"/>
        <scheme val="minor"/>
      </rPr>
      <t>radio</t>
    </r>
    <r>
      <rPr>
        <sz val="11"/>
        <color theme="1"/>
        <rFont val="Calibri"/>
        <family val="2"/>
        <scheme val="minor"/>
      </rPr>
      <t xml:space="preserve"> (abreviado </t>
    </r>
    <r>
      <rPr>
        <b/>
        <sz val="11"/>
        <color theme="1"/>
        <rFont val="Calibri"/>
        <family val="2"/>
        <scheme val="minor"/>
      </rPr>
      <t>tan</t>
    </r>
    <r>
      <rPr>
        <sz val="11"/>
        <color theme="1"/>
        <rFont val="Calibri"/>
        <family val="2"/>
        <scheme val="minor"/>
      </rPr>
      <t>) de un ángulo (en un triángulo rectángulo) se define como la razón entre el cateto opuesto y el adyacente</t>
    </r>
  </si>
  <si>
    <t>Carácter cortado</t>
  </si>
  <si>
    <t xml:space="preserve">En geometría, el radio de una circunferencia es cualquier segmento que une el centro a cualquier punto de dicha circunferencia. </t>
  </si>
  <si>
    <t>[1] ¿Cómo elegir por orden alfabético creciente o decreciente una celda Excel que contenga una cadena de caracteres? (Módulo 4)</t>
  </si>
  <si>
    <t>[2] Al introducir texto mediante una macro en una celda, se pretende que este texto sea cortado cada 50 caracteres, pero sin cortar las palabras.</t>
  </si>
  <si>
    <t>[3] En una columna en formato texto cuando se aplica la función reemplazar el valor siguiente **85 por nada sobre un número del tipo **850005256325 los 0 desaparecen (5256325).</t>
  </si>
  <si>
    <t>850005256325</t>
  </si>
  <si>
    <t>[1] Macro para suprimir los espacios que se encuentran delante de las cifras cortadas/pegadas a partir de una web (de toda la hoja activa).</t>
  </si>
  <si>
    <t>[2] Lista de letras del alfabeto que se incremente automáticamente</t>
  </si>
  <si>
    <t>[3] Quitar los números de una cadena de caracteres (Módulo 5)</t>
  </si>
  <si>
    <t>Extraer una cadena en medio de otra (Funciones de excel)</t>
  </si>
  <si>
    <t>[4] Se abre un fichero de texto y se lee línea a línea: debiéndose verificar que cada vez que se pasara de línea (retstring) se tuviera la cadena de caracteres ".htm".</t>
  </si>
  <si>
    <t>[1] Se querría cortar una frase, sin cortar las palabras, de tal manera que cada trozo de frase, puesto en celdas adyacentes, no comportara más de 20 caracteres.</t>
  </si>
  <si>
    <t>_x0001_</t>
  </si>
  <si>
    <t/>
  </si>
  <si>
    <t></t>
  </si>
  <si>
    <t></t>
  </si>
  <si>
    <t></t>
  </si>
  <si>
    <t></t>
  </si>
  <si>
    <t></t>
  </si>
  <si>
    <t></t>
  </si>
  <si>
    <t>Longitud de la cadena</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</si>
</sst>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11"/>
      <color rgb="FF000000"/>
      <name val="Calibri"/>
      <family val="2"/>
    </font>
    <font>
      <b/>
      <sz val="11"/>
      <color theme="1"/>
      <name val="Calibri"/>
      <family val="2"/>
      <scheme val="minor"/>
    </font>
    <font>
      <b/>
      <sz val="11"/>
      <color theme="0"/>
      <name val="Calibri"/>
      <family val="2"/>
      <scheme val="minor"/>
    </font>
    <font>
      <sz val="11"/>
      <color theme="0"/>
      <name val="Calibri"/>
      <family val="2"/>
      <scheme val="minor"/>
    </font>
    <font>
      <sz val="11"/>
      <color rgb="FF363636"/>
      <name val="Segoe UI Light"/>
      <family val="2"/>
    </font>
    <font>
      <sz val="15.4"/>
      <color rgb="FF363636"/>
      <name val="Segoe UI Light"/>
      <family val="2"/>
    </font>
    <font>
      <sz val="15.4"/>
      <color rgb="FF363636"/>
      <name val="Segoe UI Light"/>
      <family val="2"/>
    </font>
  </fonts>
  <fills count="22">
    <fill>
      <patternFill patternType="none"/>
    </fill>
    <fill>
      <patternFill patternType="gray125"/>
    </fill>
    <fill>
      <patternFill patternType="solid">
        <fgColor indexed="9"/>
        <bgColor indexed="64"/>
      </patternFill>
    </fill>
    <fill>
      <patternFill patternType="solid">
        <fgColor indexed="12"/>
        <bgColor indexed="64"/>
      </patternFill>
    </fill>
    <fill>
      <patternFill patternType="solid">
        <fgColor indexed="16"/>
        <bgColor indexed="64"/>
      </patternFill>
    </fill>
    <fill>
      <patternFill patternType="solid">
        <fgColor indexed="13"/>
        <bgColor indexed="64"/>
      </patternFill>
    </fill>
    <fill>
      <patternFill patternType="solid">
        <fgColor indexed="8"/>
        <bgColor indexed="64"/>
      </patternFill>
    </fill>
    <fill>
      <patternFill patternType="solid">
        <fgColor indexed="65"/>
        <bgColor indexed="64"/>
      </patternFill>
    </fill>
    <fill>
      <patternFill patternType="solid">
        <fgColor indexed="14"/>
        <bgColor indexed="64"/>
      </patternFill>
    </fill>
    <fill>
      <patternFill patternType="solid">
        <fgColor indexed="10"/>
        <bgColor indexed="64"/>
      </patternFill>
    </fill>
    <fill>
      <patternFill patternType="solid">
        <fgColor indexed="11"/>
        <bgColor indexed="64"/>
      </patternFill>
    </fill>
    <fill>
      <patternFill patternType="solid">
        <fgColor theme="6" tint="-0.249977111117893"/>
        <bgColor indexed="64"/>
      </patternFill>
    </fill>
    <fill>
      <patternFill patternType="solid">
        <fgColor indexed="15"/>
        <bgColor indexed="64"/>
      </patternFill>
    </fill>
    <fill>
      <patternFill patternType="solid">
        <fgColor indexed="18"/>
        <bgColor indexed="64"/>
      </patternFill>
    </fill>
    <fill>
      <patternFill patternType="solid">
        <fgColor indexed="5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0070C0"/>
        <bgColor indexed="64"/>
      </patternFill>
    </fill>
    <fill>
      <patternFill patternType="solid">
        <fgColor theme="6" tint="0.59999389629810485"/>
        <bgColor indexed="64"/>
      </patternFill>
    </fill>
    <fill>
      <patternFill patternType="solid">
        <fgColor indexed="17"/>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46">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0"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0" borderId="0" xfId="0" applyAlignment="1">
      <alignment vertical="center"/>
    </xf>
    <xf numFmtId="0" fontId="0" fillId="11" borderId="0" xfId="0" applyFill="1"/>
    <xf numFmtId="0" fontId="0" fillId="0" borderId="0" xfId="0" applyFill="1" applyAlignment="1">
      <alignment horizontal="center"/>
    </xf>
    <xf numFmtId="0" fontId="0" fillId="12" borderId="0" xfId="0" applyFill="1"/>
    <xf numFmtId="0" fontId="0" fillId="13" borderId="0" xfId="0" applyFill="1"/>
    <xf numFmtId="0" fontId="0" fillId="0" borderId="0" xfId="0" applyAlignment="1">
      <alignment wrapText="1"/>
    </xf>
    <xf numFmtId="0" fontId="0" fillId="0" borderId="0" xfId="0" quotePrefix="1"/>
    <xf numFmtId="0" fontId="0" fillId="14" borderId="0" xfId="0" applyFill="1"/>
    <xf numFmtId="0" fontId="0" fillId="0" borderId="0" xfId="0" applyAlignment="1"/>
    <xf numFmtId="0" fontId="0" fillId="15" borderId="0" xfId="0" applyFill="1"/>
    <xf numFmtId="0" fontId="2" fillId="15" borderId="0" xfId="0" applyFont="1" applyFill="1"/>
    <xf numFmtId="0" fontId="0" fillId="16" borderId="0" xfId="0" applyFill="1"/>
    <xf numFmtId="0" fontId="6" fillId="0" borderId="0" xfId="0" applyFont="1" applyAlignment="1">
      <alignment vertical="center" wrapText="1"/>
    </xf>
    <xf numFmtId="0" fontId="5" fillId="0" borderId="0" xfId="0" applyFont="1" applyAlignment="1">
      <alignment vertical="center" wrapText="1"/>
    </xf>
    <xf numFmtId="0" fontId="7" fillId="0" borderId="0" xfId="0" applyFont="1"/>
    <xf numFmtId="0" fontId="0" fillId="0" borderId="0" xfId="0" applyAlignment="1">
      <alignment horizontal="left"/>
    </xf>
    <xf numFmtId="0" fontId="0" fillId="17" borderId="0" xfId="0" applyFill="1" applyAlignment="1">
      <alignment horizontal="center"/>
    </xf>
    <xf numFmtId="0" fontId="0" fillId="0" borderId="1" xfId="0" applyFill="1" applyBorder="1" applyAlignment="1">
      <alignment horizontal="center"/>
    </xf>
    <xf numFmtId="0" fontId="0" fillId="0" borderId="1" xfId="0" applyFill="1" applyBorder="1"/>
    <xf numFmtId="0" fontId="0" fillId="0" borderId="0" xfId="0" applyFill="1" applyBorder="1"/>
    <xf numFmtId="0" fontId="0" fillId="0" borderId="2" xfId="0" applyFill="1" applyBorder="1"/>
    <xf numFmtId="0" fontId="0" fillId="11" borderId="1" xfId="0" applyFill="1" applyBorder="1"/>
    <xf numFmtId="0" fontId="4" fillId="19" borderId="0" xfId="0" applyFont="1" applyFill="1" applyAlignment="1">
      <alignment horizontal="center"/>
    </xf>
    <xf numFmtId="0" fontId="4" fillId="18" borderId="0" xfId="0" applyFont="1" applyFill="1" applyAlignment="1">
      <alignment horizontal="center"/>
    </xf>
    <xf numFmtId="0" fontId="3" fillId="0" borderId="0" xfId="0" applyFont="1" applyFill="1" applyBorder="1"/>
    <xf numFmtId="0" fontId="3" fillId="0" borderId="0" xfId="0" applyFont="1" applyFill="1" applyBorder="1" applyAlignment="1">
      <alignment horizontal="center"/>
    </xf>
    <xf numFmtId="0" fontId="0" fillId="20" borderId="1" xfId="0" applyFill="1" applyBorder="1"/>
    <xf numFmtId="0" fontId="0" fillId="21" borderId="0" xfId="0" applyFill="1"/>
    <xf numFmtId="0" fontId="2" fillId="15" borderId="0" xfId="0" applyFont="1" applyFill="1" applyAlignment="1"/>
    <xf numFmtId="49" fontId="0" fillId="0" borderId="0" xfId="0" applyNumberFormat="1" applyFill="1"/>
    <xf numFmtId="0" fontId="0" fillId="0" borderId="0" xfId="0" applyNumberFormat="1" applyFill="1"/>
    <xf numFmtId="0" fontId="2" fillId="15" borderId="0" xfId="0" applyFont="1" applyFill="1" applyAlignment="1">
      <alignment wrapText="1"/>
    </xf>
    <xf numFmtId="0" fontId="0" fillId="0" borderId="0" xfId="0" applyAlignment="1">
      <alignment horizontal="center"/>
    </xf>
    <xf numFmtId="0" fontId="0" fillId="0" borderId="0" xfId="0" applyAlignment="1">
      <alignment horizontal="center" vertical="center"/>
    </xf>
    <xf numFmtId="0" fontId="2" fillId="15"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7.emf"/><Relationship Id="rId4"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17.emf"/><Relationship Id="rId5" Type="http://schemas.openxmlformats.org/officeDocument/2006/relationships/image" Target="../media/image22.emf"/><Relationship Id="rId4"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542925</xdr:colOff>
          <xdr:row>1</xdr:row>
          <xdr:rowOff>95250</xdr:rowOff>
        </xdr:from>
        <xdr:to>
          <xdr:col>3</xdr:col>
          <xdr:colOff>409575</xdr:colOff>
          <xdr:row>4</xdr:row>
          <xdr:rowOff>38100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_tradnl" sz="1100" b="0" i="0" u="none" strike="noStrike" baseline="0">
                  <a:solidFill>
                    <a:srgbClr val="000000"/>
                  </a:solidFill>
                  <a:latin typeface="Calibri"/>
                </a:rPr>
                <a:t>Primer botón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638175</xdr:colOff>
          <xdr:row>1</xdr:row>
          <xdr:rowOff>114300</xdr:rowOff>
        </xdr:from>
        <xdr:to>
          <xdr:col>3</xdr:col>
          <xdr:colOff>533400</xdr:colOff>
          <xdr:row>3</xdr:row>
          <xdr:rowOff>133350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_tradnl" sz="1100" b="0" i="0" u="none" strike="noStrike" baseline="0">
                  <a:solidFill>
                    <a:srgbClr val="000000"/>
                  </a:solidFill>
                  <a:latin typeface="Calibri"/>
                </a:rPr>
                <a:t>Añadir HOLA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xdr:row>
          <xdr:rowOff>133350</xdr:rowOff>
        </xdr:from>
        <xdr:to>
          <xdr:col>5</xdr:col>
          <xdr:colOff>723900</xdr:colOff>
          <xdr:row>3</xdr:row>
          <xdr:rowOff>133350</xdr:rowOff>
        </xdr:to>
        <xdr:sp macro="" textlink="">
          <xdr:nvSpPr>
            <xdr:cNvPr id="2050" name="CommandButton1"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200025</xdr:colOff>
          <xdr:row>1</xdr:row>
          <xdr:rowOff>85725</xdr:rowOff>
        </xdr:from>
        <xdr:to>
          <xdr:col>9</xdr:col>
          <xdr:colOff>123825</xdr:colOff>
          <xdr:row>4</xdr:row>
          <xdr:rowOff>47625</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419100</xdr:colOff>
          <xdr:row>1</xdr:row>
          <xdr:rowOff>114300</xdr:rowOff>
        </xdr:from>
        <xdr:to>
          <xdr:col>12</xdr:col>
          <xdr:colOff>381000</xdr:colOff>
          <xdr:row>4</xdr:row>
          <xdr:rowOff>9525</xdr:rowOff>
        </xdr:to>
        <xdr:sp macro="" textlink="">
          <xdr:nvSpPr>
            <xdr:cNvPr id="3074" name="CommandButton2"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428625</xdr:colOff>
          <xdr:row>1</xdr:row>
          <xdr:rowOff>0</xdr:rowOff>
        </xdr:from>
        <xdr:to>
          <xdr:col>8</xdr:col>
          <xdr:colOff>657225</xdr:colOff>
          <xdr:row>3</xdr:row>
          <xdr:rowOff>76200</xdr:rowOff>
        </xdr:to>
        <xdr:sp macro="" textlink="">
          <xdr:nvSpPr>
            <xdr:cNvPr id="4097" name="CommandButton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581025</xdr:colOff>
          <xdr:row>1</xdr:row>
          <xdr:rowOff>66675</xdr:rowOff>
        </xdr:from>
        <xdr:to>
          <xdr:col>9</xdr:col>
          <xdr:colOff>47625</xdr:colOff>
          <xdr:row>4</xdr:row>
          <xdr:rowOff>133350</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_tradnl" sz="1100" b="0" i="0" u="none" strike="noStrike" baseline="0">
                  <a:solidFill>
                    <a:srgbClr val="000000"/>
                  </a:solidFill>
                  <a:latin typeface="Calibri"/>
                </a:rPr>
                <a:t>Color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1</xdr:row>
          <xdr:rowOff>85725</xdr:rowOff>
        </xdr:from>
        <xdr:to>
          <xdr:col>9</xdr:col>
          <xdr:colOff>542925</xdr:colOff>
          <xdr:row>4</xdr:row>
          <xdr:rowOff>85725</xdr:rowOff>
        </xdr:to>
        <xdr:sp macro="" textlink="">
          <xdr:nvSpPr>
            <xdr:cNvPr id="7169" name="generaFibonacci"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5</xdr:row>
          <xdr:rowOff>180975</xdr:rowOff>
        </xdr:from>
        <xdr:to>
          <xdr:col>12</xdr:col>
          <xdr:colOff>571500</xdr:colOff>
          <xdr:row>9</xdr:row>
          <xdr:rowOff>0</xdr:rowOff>
        </xdr:to>
        <xdr:sp macro="" textlink="">
          <xdr:nvSpPr>
            <xdr:cNvPr id="7170" name="SerieReducida" hidden="1">
              <a:extLst>
                <a:ext uri="{63B3BB69-23CF-44E3-9099-C40C66FF867C}">
                  <a14:compatExt spid="_x0000_s7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10</xdr:row>
          <xdr:rowOff>47625</xdr:rowOff>
        </xdr:from>
        <xdr:to>
          <xdr:col>10</xdr:col>
          <xdr:colOff>409575</xdr:colOff>
          <xdr:row>12</xdr:row>
          <xdr:rowOff>133350</xdr:rowOff>
        </xdr:to>
        <xdr:sp macro="" textlink="">
          <xdr:nvSpPr>
            <xdr:cNvPr id="7171" name="CommandButton3" hidden="1">
              <a:extLst>
                <a:ext uri="{63B3BB69-23CF-44E3-9099-C40C66FF867C}">
                  <a14:compatExt spid="_x0000_s7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514350</xdr:colOff>
          <xdr:row>13</xdr:row>
          <xdr:rowOff>180975</xdr:rowOff>
        </xdr:from>
        <xdr:to>
          <xdr:col>10</xdr:col>
          <xdr:colOff>161925</xdr:colOff>
          <xdr:row>16</xdr:row>
          <xdr:rowOff>57150</xdr:rowOff>
        </xdr:to>
        <xdr:sp macro="" textlink="">
          <xdr:nvSpPr>
            <xdr:cNvPr id="7172" name="generaDiagramaBarras" hidden="1">
              <a:extLst>
                <a:ext uri="{63B3BB69-23CF-44E3-9099-C40C66FF867C}">
                  <a14:compatExt spid="_x0000_s7172"/>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276225</xdr:colOff>
          <xdr:row>0</xdr:row>
          <xdr:rowOff>171450</xdr:rowOff>
        </xdr:from>
        <xdr:to>
          <xdr:col>11</xdr:col>
          <xdr:colOff>66675</xdr:colOff>
          <xdr:row>3</xdr:row>
          <xdr:rowOff>114300</xdr:rowOff>
        </xdr:to>
        <xdr:sp macro="" textlink="">
          <xdr:nvSpPr>
            <xdr:cNvPr id="8193" name="CommandButton1" hidden="1">
              <a:extLst>
                <a:ext uri="{63B3BB69-23CF-44E3-9099-C40C66FF867C}">
                  <a14:compatExt spid="_x0000_s8193"/>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171450</xdr:colOff>
          <xdr:row>2</xdr:row>
          <xdr:rowOff>0</xdr:rowOff>
        </xdr:from>
        <xdr:to>
          <xdr:col>8</xdr:col>
          <xdr:colOff>133350</xdr:colOff>
          <xdr:row>4</xdr:row>
          <xdr:rowOff>171450</xdr:rowOff>
        </xdr:to>
        <xdr:sp macro="" textlink="">
          <xdr:nvSpPr>
            <xdr:cNvPr id="9217" name="CommandButton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152400</xdr:colOff>
          <xdr:row>1</xdr:row>
          <xdr:rowOff>19050</xdr:rowOff>
        </xdr:from>
        <xdr:to>
          <xdr:col>8</xdr:col>
          <xdr:colOff>342900</xdr:colOff>
          <xdr:row>3</xdr:row>
          <xdr:rowOff>152400</xdr:rowOff>
        </xdr:to>
        <xdr:sp macro="" textlink="">
          <xdr:nvSpPr>
            <xdr:cNvPr id="10241" name="Command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1</xdr:row>
          <xdr:rowOff>95250</xdr:rowOff>
        </xdr:from>
        <xdr:to>
          <xdr:col>9</xdr:col>
          <xdr:colOff>323850</xdr:colOff>
          <xdr:row>4</xdr:row>
          <xdr:rowOff>28575</xdr:rowOff>
        </xdr:to>
        <xdr:sp macro="" textlink="">
          <xdr:nvSpPr>
            <xdr:cNvPr id="11265" name="CommandButton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8</xdr:row>
          <xdr:rowOff>47625</xdr:rowOff>
        </xdr:from>
        <xdr:to>
          <xdr:col>5</xdr:col>
          <xdr:colOff>552450</xdr:colOff>
          <xdr:row>10</xdr:row>
          <xdr:rowOff>0</xdr:rowOff>
        </xdr:to>
        <xdr:sp macro="" textlink="">
          <xdr:nvSpPr>
            <xdr:cNvPr id="11266" name="CommandButton2" hidden="1">
              <a:extLst>
                <a:ext uri="{63B3BB69-23CF-44E3-9099-C40C66FF867C}">
                  <a14:compatExt spid="_x0000_s11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10</xdr:row>
          <xdr:rowOff>114300</xdr:rowOff>
        </xdr:from>
        <xdr:to>
          <xdr:col>9</xdr:col>
          <xdr:colOff>171450</xdr:colOff>
          <xdr:row>13</xdr:row>
          <xdr:rowOff>0</xdr:rowOff>
        </xdr:to>
        <xdr:sp macro="" textlink="">
          <xdr:nvSpPr>
            <xdr:cNvPr id="11267" name="CommandButton3" hidden="1">
              <a:extLst>
                <a:ext uri="{63B3BB69-23CF-44E3-9099-C40C66FF867C}">
                  <a14:compatExt spid="_x0000_s11267"/>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400050</xdr:colOff>
          <xdr:row>20</xdr:row>
          <xdr:rowOff>47625</xdr:rowOff>
        </xdr:from>
        <xdr:to>
          <xdr:col>5</xdr:col>
          <xdr:colOff>47625</xdr:colOff>
          <xdr:row>22</xdr:row>
          <xdr:rowOff>114300</xdr:rowOff>
        </xdr:to>
        <xdr:sp macro="" textlink="">
          <xdr:nvSpPr>
            <xdr:cNvPr id="12290" name="CommandButton1" hidden="1">
              <a:extLst>
                <a:ext uri="{63B3BB69-23CF-44E3-9099-C40C66FF867C}">
                  <a14:compatExt spid="_x0000_s12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25</xdr:row>
          <xdr:rowOff>114300</xdr:rowOff>
        </xdr:from>
        <xdr:to>
          <xdr:col>5</xdr:col>
          <xdr:colOff>647700</xdr:colOff>
          <xdr:row>27</xdr:row>
          <xdr:rowOff>133350</xdr:rowOff>
        </xdr:to>
        <xdr:sp macro="" textlink="">
          <xdr:nvSpPr>
            <xdr:cNvPr id="12292" name="ReemplazarCaracter" hidden="1">
              <a:extLst>
                <a:ext uri="{63B3BB69-23CF-44E3-9099-C40C66FF867C}">
                  <a14:compatExt spid="_x0000_s12292"/>
                </a:ext>
              </a:extLst>
            </xdr:cNvPr>
            <xdr:cNvSpPr/>
          </xdr:nvSpPr>
          <xdr:spPr>
            <a:xfrm>
              <a:off x="0" y="0"/>
              <a:ext cx="0" cy="0"/>
            </a:xfrm>
            <a:prstGeom prst="rect">
              <a:avLst/>
            </a:prstGeom>
          </xdr:spPr>
        </xdr:sp>
        <xdr:clientData/>
      </xdr:twoCellAnchor>
    </mc:Choice>
    <mc:Fallback/>
  </mc:AlternateContent>
  <xdr:twoCellAnchor>
    <xdr:from>
      <xdr:col>5</xdr:col>
      <xdr:colOff>819149</xdr:colOff>
      <xdr:row>26</xdr:row>
      <xdr:rowOff>28576</xdr:rowOff>
    </xdr:from>
    <xdr:to>
      <xdr:col>7</xdr:col>
      <xdr:colOff>285750</xdr:colOff>
      <xdr:row>27</xdr:row>
      <xdr:rowOff>104776</xdr:rowOff>
    </xdr:to>
    <xdr:sp macro="" textlink="">
      <xdr:nvSpPr>
        <xdr:cNvPr id="2" name="1 CuadroTexto"/>
        <xdr:cNvSpPr txBox="1"/>
      </xdr:nvSpPr>
      <xdr:spPr>
        <a:xfrm>
          <a:off x="7981949" y="4981576"/>
          <a:ext cx="1971676"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_tradnl" sz="1100"/>
            <a:t>Seleccione</a:t>
          </a:r>
          <a:r>
            <a:rPr lang="es-ES_tradnl" sz="1100" baseline="0"/>
            <a:t> la celda a modificar</a:t>
          </a:r>
          <a:endParaRPr lang="es-ES_tradnl"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0</xdr:row>
          <xdr:rowOff>142875</xdr:rowOff>
        </xdr:from>
        <xdr:to>
          <xdr:col>3</xdr:col>
          <xdr:colOff>409575</xdr:colOff>
          <xdr:row>2</xdr:row>
          <xdr:rowOff>180975</xdr:rowOff>
        </xdr:to>
        <xdr:sp macro="" textlink="">
          <xdr:nvSpPr>
            <xdr:cNvPr id="13313" name="EliminarEspacios"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4</xdr:row>
          <xdr:rowOff>76200</xdr:rowOff>
        </xdr:from>
        <xdr:to>
          <xdr:col>3</xdr:col>
          <xdr:colOff>142875</xdr:colOff>
          <xdr:row>6</xdr:row>
          <xdr:rowOff>123825</xdr:rowOff>
        </xdr:to>
        <xdr:sp macro="" textlink="">
          <xdr:nvSpPr>
            <xdr:cNvPr id="13314" name="AnadirListaPers"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7</xdr:row>
          <xdr:rowOff>19050</xdr:rowOff>
        </xdr:from>
        <xdr:to>
          <xdr:col>4</xdr:col>
          <xdr:colOff>342900</xdr:colOff>
          <xdr:row>9</xdr:row>
          <xdr:rowOff>9525</xdr:rowOff>
        </xdr:to>
        <xdr:sp macro="" textlink="">
          <xdr:nvSpPr>
            <xdr:cNvPr id="13315" name="InsertarListaPers" hidden="1">
              <a:extLst>
                <a:ext uri="{63B3BB69-23CF-44E3-9099-C40C66FF867C}">
                  <a14:compatExt spid="_x0000_s13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5819775</xdr:colOff>
          <xdr:row>6</xdr:row>
          <xdr:rowOff>133350</xdr:rowOff>
        </xdr:from>
        <xdr:to>
          <xdr:col>0</xdr:col>
          <xdr:colOff>7781925</xdr:colOff>
          <xdr:row>8</xdr:row>
          <xdr:rowOff>57150</xdr:rowOff>
        </xdr:to>
        <xdr:sp macro="" textlink="">
          <xdr:nvSpPr>
            <xdr:cNvPr id="13318" name="ComboBox1"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10</xdr:row>
          <xdr:rowOff>0</xdr:rowOff>
        </xdr:from>
        <xdr:to>
          <xdr:col>3</xdr:col>
          <xdr:colOff>295275</xdr:colOff>
          <xdr:row>12</xdr:row>
          <xdr:rowOff>9525</xdr:rowOff>
        </xdr:to>
        <xdr:sp macro="" textlink="">
          <xdr:nvSpPr>
            <xdr:cNvPr id="13319" name="ResetearItem" hidden="1">
              <a:extLst>
                <a:ext uri="{63B3BB69-23CF-44E3-9099-C40C66FF867C}">
                  <a14:compatExt spid="_x0000_s13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28575</xdr:rowOff>
        </xdr:from>
        <xdr:to>
          <xdr:col>4</xdr:col>
          <xdr:colOff>304800</xdr:colOff>
          <xdr:row>25</xdr:row>
          <xdr:rowOff>38100</xdr:rowOff>
        </xdr:to>
        <xdr:sp macro="" textlink="">
          <xdr:nvSpPr>
            <xdr:cNvPr id="13320" name="LeerFicheroComprueba" hidden="1">
              <a:extLst>
                <a:ext uri="{63B3BB69-23CF-44E3-9099-C40C66FF867C}">
                  <a14:compatExt spid="_x0000_s13320"/>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190500</xdr:colOff>
          <xdr:row>4</xdr:row>
          <xdr:rowOff>161925</xdr:rowOff>
        </xdr:from>
        <xdr:to>
          <xdr:col>5</xdr:col>
          <xdr:colOff>323850</xdr:colOff>
          <xdr:row>4</xdr:row>
          <xdr:rowOff>742950</xdr:rowOff>
        </xdr:to>
        <xdr:sp macro="" textlink="">
          <xdr:nvSpPr>
            <xdr:cNvPr id="14337" name="Parse20PerCell" hidden="1">
              <a:extLst>
                <a:ext uri="{63B3BB69-23CF-44E3-9099-C40C66FF867C}">
                  <a14:compatExt spid="_x0000_s1433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6.emf"/><Relationship Id="rId5" Type="http://schemas.openxmlformats.org/officeDocument/2006/relationships/control" Target="../activeX/activeX6.xml"/><Relationship Id="rId10" Type="http://schemas.openxmlformats.org/officeDocument/2006/relationships/image" Target="../media/image8.emf"/><Relationship Id="rId4" Type="http://schemas.openxmlformats.org/officeDocument/2006/relationships/image" Target="../media/image5.emf"/><Relationship Id="rId9"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image" Target="../media/image9.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1.emf"/></Relationships>
</file>

<file path=xl/worksheets/_rels/sheet10.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control" Target="../activeX/activeX12.xml"/><Relationship Id="rId7"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image" Target="../media/image13.emf"/><Relationship Id="rId5" Type="http://schemas.openxmlformats.org/officeDocument/2006/relationships/control" Target="../activeX/activeX13.xml"/><Relationship Id="rId4" Type="http://schemas.openxmlformats.org/officeDocument/2006/relationships/image" Target="../media/image12.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16.emf"/><Relationship Id="rId5" Type="http://schemas.openxmlformats.org/officeDocument/2006/relationships/control" Target="../activeX/activeX16.xml"/><Relationship Id="rId4" Type="http://schemas.openxmlformats.org/officeDocument/2006/relationships/image" Target="../media/image15.emf"/></Relationships>
</file>

<file path=xl/worksheets/_rels/sheet12.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22.xml"/><Relationship Id="rId3" Type="http://schemas.openxmlformats.org/officeDocument/2006/relationships/control" Target="../activeX/activeX17.xml"/><Relationship Id="rId7" Type="http://schemas.openxmlformats.org/officeDocument/2006/relationships/control" Target="../activeX/activeX19.xml"/><Relationship Id="rId12" Type="http://schemas.openxmlformats.org/officeDocument/2006/relationships/image" Target="../media/image21.emf"/><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18.emf"/><Relationship Id="rId11" Type="http://schemas.openxmlformats.org/officeDocument/2006/relationships/control" Target="../activeX/activeX21.xml"/><Relationship Id="rId5" Type="http://schemas.openxmlformats.org/officeDocument/2006/relationships/control" Target="../activeX/activeX18.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20.xml"/><Relationship Id="rId14" Type="http://schemas.openxmlformats.org/officeDocument/2006/relationships/image" Target="../media/image22.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2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10"/>
  <sheetViews>
    <sheetView workbookViewId="0">
      <selection activeCell="C7" sqref="C7"/>
    </sheetView>
  </sheetViews>
  <sheetFormatPr baseColWidth="10" defaultRowHeight="15" x14ac:dyDescent="0.25"/>
  <sheetData>
    <row r="1" spans="1:1" x14ac:dyDescent="0.25">
      <c r="A1" s="6" t="s">
        <v>1</v>
      </c>
    </row>
    <row r="2" spans="1:1" x14ac:dyDescent="0.25">
      <c r="A2" s="6"/>
    </row>
    <row r="3" spans="1:1" x14ac:dyDescent="0.25">
      <c r="A3" s="6"/>
    </row>
    <row r="4" spans="1:1" x14ac:dyDescent="0.25">
      <c r="A4" s="6"/>
    </row>
    <row r="5" spans="1:1" x14ac:dyDescent="0.25">
      <c r="A5" s="6"/>
    </row>
    <row r="6" spans="1:1" x14ac:dyDescent="0.25">
      <c r="A6" s="6"/>
    </row>
    <row r="7" spans="1:1" x14ac:dyDescent="0.25">
      <c r="A7" s="6"/>
    </row>
    <row r="8" spans="1:1" x14ac:dyDescent="0.25">
      <c r="A8" s="6"/>
    </row>
    <row r="9" spans="1:1" x14ac:dyDescent="0.25">
      <c r="A9" s="6"/>
    </row>
    <row r="10" spans="1:1" x14ac:dyDescent="0.25">
      <c r="A10" s="6"/>
    </row>
  </sheetData>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otón3_Haga_clic_en">
                <anchor moveWithCells="1" sizeWithCells="1">
                  <from>
                    <xdr:col>1</xdr:col>
                    <xdr:colOff>542925</xdr:colOff>
                    <xdr:row>1</xdr:row>
                    <xdr:rowOff>95250</xdr:rowOff>
                  </from>
                  <to>
                    <xdr:col>3</xdr:col>
                    <xdr:colOff>409575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
  <sheetViews>
    <sheetView workbookViewId="0">
      <selection activeCell="G4" sqref="G4"/>
    </sheetView>
  </sheetViews>
  <sheetFormatPr baseColWidth="10" defaultRowHeight="15" x14ac:dyDescent="0.25"/>
  <cols>
    <col min="1" max="1" width="35.5703125" bestFit="1" customWidth="1"/>
  </cols>
  <sheetData/>
  <pageMargins left="0.7" right="0.7" top="0.75" bottom="0.75" header="0.3" footer="0.3"/>
  <drawing r:id="rId1"/>
  <legacyDrawing r:id="rId2"/>
  <controls>
    <mc:AlternateContent xmlns:mc="http://schemas.openxmlformats.org/markup-compatibility/2006">
      <mc:Choice Requires="x14">
        <control shapeId="2050" r:id="rId3" name="CommandButton1">
          <controlPr defaultSize="0" autoLine="0" autoPict="0" r:id="rId4">
            <anchor moveWithCells="1">
              <from>
                <xdr:col>4</xdr:col>
                <xdr:colOff>104775</xdr:colOff>
                <xdr:row>1</xdr:row>
                <xdr:rowOff>133350</xdr:rowOff>
              </from>
              <to>
                <xdr:col>5</xdr:col>
                <xdr:colOff>723900</xdr:colOff>
                <xdr:row>3</xdr:row>
                <xdr:rowOff>133350</xdr:rowOff>
              </to>
            </anchor>
          </controlPr>
        </control>
      </mc:Choice>
      <mc:Fallback>
        <control shapeId="2050" r:id="rId3" name="CommandButton1"/>
      </mc:Fallback>
    </mc:AlternateContent>
    <mc:AlternateContent xmlns:mc="http://schemas.openxmlformats.org/markup-compatibility/2006">
      <mc:Choice Requires="x14">
        <control shapeId="2049" r:id="rId5" name="Button 1">
          <controlPr defaultSize="0" print="0" autoFill="0" autoPict="0" macro="[0]!Botón2">
            <anchor moveWithCells="1" sizeWithCells="1">
              <from>
                <xdr:col>1</xdr:col>
                <xdr:colOff>638175</xdr:colOff>
                <xdr:row>1</xdr:row>
                <xdr:rowOff>114300</xdr:rowOff>
              </from>
              <to>
                <xdr:col>3</xdr:col>
                <xdr:colOff>533400</xdr:colOff>
                <xdr:row>3</xdr:row>
                <xdr:rowOff>133350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H10"/>
  <sheetViews>
    <sheetView workbookViewId="0">
      <selection sqref="A1:A10"/>
    </sheetView>
  </sheetViews>
  <sheetFormatPr baseColWidth="10" defaultRowHeight="15" x14ac:dyDescent="0.25"/>
  <cols>
    <col min="1" max="1" width="12.140625" bestFit="1" customWidth="1"/>
  </cols>
  <sheetData>
    <row r="1" spans="1:8" x14ac:dyDescent="0.25">
      <c r="A1" s="6" t="s">
        <v>0</v>
      </c>
    </row>
    <row r="2" spans="1:8" x14ac:dyDescent="0.25">
      <c r="A2" s="6"/>
      <c r="B2" t="s">
        <v>0</v>
      </c>
    </row>
    <row r="3" spans="1:8" x14ac:dyDescent="0.25">
      <c r="A3" s="6" t="s">
        <v>0</v>
      </c>
      <c r="C3" t="s">
        <v>0</v>
      </c>
    </row>
    <row r="4" spans="1:8" x14ac:dyDescent="0.25">
      <c r="A4" s="6"/>
      <c r="B4" t="s">
        <v>0</v>
      </c>
      <c r="D4" t="s">
        <v>0</v>
      </c>
    </row>
    <row r="5" spans="1:8" x14ac:dyDescent="0.25">
      <c r="A5" s="6" t="s">
        <v>0</v>
      </c>
      <c r="C5" t="s">
        <v>0</v>
      </c>
      <c r="E5" t="s">
        <v>0</v>
      </c>
    </row>
    <row r="6" spans="1:8" x14ac:dyDescent="0.25">
      <c r="A6" s="6"/>
      <c r="B6" t="s">
        <v>0</v>
      </c>
      <c r="D6" t="s">
        <v>0</v>
      </c>
      <c r="F6" t="s">
        <v>0</v>
      </c>
    </row>
    <row r="7" spans="1:8" x14ac:dyDescent="0.25">
      <c r="A7" s="6" t="s">
        <v>0</v>
      </c>
      <c r="C7" t="s">
        <v>0</v>
      </c>
      <c r="E7" t="s">
        <v>0</v>
      </c>
      <c r="G7" t="s">
        <v>0</v>
      </c>
    </row>
    <row r="8" spans="1:8" x14ac:dyDescent="0.25">
      <c r="A8" s="6"/>
      <c r="B8" t="s">
        <v>0</v>
      </c>
      <c r="D8" t="s">
        <v>0</v>
      </c>
      <c r="F8" t="s">
        <v>0</v>
      </c>
      <c r="H8" t="s">
        <v>0</v>
      </c>
    </row>
    <row r="9" spans="1:8" x14ac:dyDescent="0.25">
      <c r="A9" s="6"/>
    </row>
    <row r="10" spans="1:8" x14ac:dyDescent="0.25">
      <c r="A10" s="6"/>
    </row>
  </sheetData>
  <pageMargins left="0.7" right="0.7" top="0.75" bottom="0.75" header="0.3" footer="0.3"/>
  <drawing r:id="rId1"/>
  <legacyDrawing r:id="rId2"/>
  <controls>
    <mc:AlternateContent xmlns:mc="http://schemas.openxmlformats.org/markup-compatibility/2006">
      <mc:Choice Requires="x14">
        <control shapeId="3074" r:id="rId3" name="CommandButton2">
          <controlPr defaultSize="0" autoLine="0" r:id="rId4">
            <anchor moveWithCells="1">
              <from>
                <xdr:col>10</xdr:col>
                <xdr:colOff>419100</xdr:colOff>
                <xdr:row>1</xdr:row>
                <xdr:rowOff>114300</xdr:rowOff>
              </from>
              <to>
                <xdr:col>12</xdr:col>
                <xdr:colOff>381000</xdr:colOff>
                <xdr:row>4</xdr:row>
                <xdr:rowOff>9525</xdr:rowOff>
              </to>
            </anchor>
          </controlPr>
        </control>
      </mc:Choice>
      <mc:Fallback>
        <control shapeId="3074" r:id="rId3" name="CommandButton2"/>
      </mc:Fallback>
    </mc:AlternateContent>
    <mc:AlternateContent xmlns:mc="http://schemas.openxmlformats.org/markup-compatibility/2006">
      <mc:Choice Requires="x14">
        <control shapeId="3073" r:id="rId5" name="CommandButton1">
          <controlPr defaultSize="0" autoLine="0" r:id="rId6">
            <anchor moveWithCells="1">
              <from>
                <xdr:col>7</xdr:col>
                <xdr:colOff>200025</xdr:colOff>
                <xdr:row>1</xdr:row>
                <xdr:rowOff>85725</xdr:rowOff>
              </from>
              <to>
                <xdr:col>9</xdr:col>
                <xdr:colOff>123825</xdr:colOff>
                <xdr:row>4</xdr:row>
                <xdr:rowOff>47625</xdr:rowOff>
              </to>
            </anchor>
          </controlPr>
        </control>
      </mc:Choice>
      <mc:Fallback>
        <control shapeId="3073" r:id="rId5"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22"/>
  <sheetViews>
    <sheetView workbookViewId="0">
      <selection activeCell="B22" sqref="B22"/>
    </sheetView>
  </sheetViews>
  <sheetFormatPr baseColWidth="10" defaultRowHeight="15" x14ac:dyDescent="0.25"/>
  <sheetData>
    <row r="1" spans="1:3" x14ac:dyDescent="0.25">
      <c r="A1" s="6"/>
      <c r="B1" s="4">
        <v>4</v>
      </c>
      <c r="C1" s="11">
        <v>6</v>
      </c>
    </row>
    <row r="2" spans="1:3" x14ac:dyDescent="0.25">
      <c r="A2" s="6"/>
      <c r="B2" s="4">
        <v>2</v>
      </c>
      <c r="C2" s="11">
        <v>6</v>
      </c>
    </row>
    <row r="3" spans="1:3" x14ac:dyDescent="0.25">
      <c r="A3" s="6"/>
      <c r="B3" s="1">
        <v>6</v>
      </c>
      <c r="C3">
        <v>2</v>
      </c>
    </row>
    <row r="4" spans="1:3" x14ac:dyDescent="0.25">
      <c r="A4" s="6"/>
      <c r="B4" s="1">
        <v>8</v>
      </c>
      <c r="C4">
        <v>2</v>
      </c>
    </row>
    <row r="5" spans="1:3" x14ac:dyDescent="0.25">
      <c r="A5" s="6"/>
      <c r="B5" s="14">
        <v>14</v>
      </c>
      <c r="C5">
        <v>8</v>
      </c>
    </row>
    <row r="6" spans="1:3" x14ac:dyDescent="0.25">
      <c r="A6" s="6"/>
      <c r="B6" s="14">
        <v>22</v>
      </c>
      <c r="C6">
        <v>8</v>
      </c>
    </row>
    <row r="7" spans="1:3" x14ac:dyDescent="0.25">
      <c r="A7" s="6"/>
      <c r="B7" s="2">
        <v>36</v>
      </c>
      <c r="C7">
        <v>5</v>
      </c>
    </row>
    <row r="8" spans="1:3" x14ac:dyDescent="0.25">
      <c r="A8" s="6"/>
      <c r="B8" s="3">
        <v>58</v>
      </c>
      <c r="C8">
        <v>9</v>
      </c>
    </row>
    <row r="9" spans="1:3" x14ac:dyDescent="0.25">
      <c r="A9" s="6"/>
      <c r="B9" s="3">
        <v>94</v>
      </c>
      <c r="C9">
        <v>9</v>
      </c>
    </row>
    <row r="10" spans="1:3" x14ac:dyDescent="0.25">
      <c r="A10" s="6"/>
      <c r="B10" s="1">
        <v>152</v>
      </c>
      <c r="C10">
        <v>2</v>
      </c>
    </row>
    <row r="11" spans="1:3" x14ac:dyDescent="0.25">
      <c r="B11" s="4">
        <v>246</v>
      </c>
      <c r="C11">
        <v>6</v>
      </c>
    </row>
    <row r="12" spans="1:3" x14ac:dyDescent="0.25">
      <c r="B12" s="3">
        <v>398</v>
      </c>
      <c r="C12">
        <v>9</v>
      </c>
    </row>
    <row r="13" spans="1:3" x14ac:dyDescent="0.25">
      <c r="B13" s="1">
        <v>644</v>
      </c>
      <c r="C13">
        <v>2</v>
      </c>
    </row>
    <row r="14" spans="1:3" x14ac:dyDescent="0.25">
      <c r="B14" s="2">
        <v>1042</v>
      </c>
      <c r="C14">
        <v>5</v>
      </c>
    </row>
    <row r="15" spans="1:3" x14ac:dyDescent="0.25">
      <c r="B15" s="5">
        <v>1686</v>
      </c>
      <c r="C15">
        <v>1</v>
      </c>
    </row>
    <row r="16" spans="1:3" x14ac:dyDescent="0.25">
      <c r="B16" s="3">
        <v>2728</v>
      </c>
      <c r="C16">
        <v>9</v>
      </c>
    </row>
    <row r="17" spans="2:3" x14ac:dyDescent="0.25">
      <c r="B17" s="4">
        <v>4414</v>
      </c>
      <c r="C17">
        <v>6</v>
      </c>
    </row>
    <row r="18" spans="2:3" x14ac:dyDescent="0.25">
      <c r="B18" s="7">
        <v>7142</v>
      </c>
      <c r="C18">
        <v>0</v>
      </c>
    </row>
    <row r="19" spans="2:3" x14ac:dyDescent="0.25">
      <c r="B19" s="2">
        <v>11556</v>
      </c>
      <c r="C19">
        <v>5</v>
      </c>
    </row>
    <row r="20" spans="2:3" x14ac:dyDescent="0.25">
      <c r="B20" s="5">
        <v>18698</v>
      </c>
      <c r="C20">
        <v>1</v>
      </c>
    </row>
    <row r="21" spans="2:3" x14ac:dyDescent="0.25">
      <c r="B21" s="5">
        <v>30254</v>
      </c>
    </row>
    <row r="22" spans="2:3" x14ac:dyDescent="0.25">
      <c r="B22" s="8">
        <v>48952</v>
      </c>
    </row>
  </sheetData>
  <pageMargins left="0.7" right="0.7" top="0.75" bottom="0.75" header="0.3" footer="0.3"/>
  <drawing r:id="rId1"/>
  <legacyDrawing r:id="rId2"/>
  <controls>
    <mc:AlternateContent xmlns:mc="http://schemas.openxmlformats.org/markup-compatibility/2006">
      <mc:Choice Requires="x14">
        <control shapeId="4097" r:id="rId3" name="CommandButton1">
          <controlPr defaultSize="0" autoLine="0" r:id="rId4">
            <anchor moveWithCells="1">
              <from>
                <xdr:col>6</xdr:col>
                <xdr:colOff>428625</xdr:colOff>
                <xdr:row>1</xdr:row>
                <xdr:rowOff>0</xdr:rowOff>
              </from>
              <to>
                <xdr:col>8</xdr:col>
                <xdr:colOff>657225</xdr:colOff>
                <xdr:row>3</xdr:row>
                <xdr:rowOff>76200</xdr:rowOff>
              </to>
            </anchor>
          </controlPr>
        </control>
      </mc:Choice>
      <mc:Fallback>
        <control shapeId="4097"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10"/>
  <sheetViews>
    <sheetView workbookViewId="0">
      <selection sqref="A1:A10"/>
    </sheetView>
  </sheetViews>
  <sheetFormatPr baseColWidth="10" defaultRowHeight="15" x14ac:dyDescent="0.25"/>
  <sheetData>
    <row r="1" spans="1:1" x14ac:dyDescent="0.25">
      <c r="A1" s="12"/>
    </row>
    <row r="2" spans="1:1" x14ac:dyDescent="0.25">
      <c r="A2" s="12"/>
    </row>
    <row r="3" spans="1:1" x14ac:dyDescent="0.25">
      <c r="A3" s="12"/>
    </row>
    <row r="4" spans="1:1" x14ac:dyDescent="0.25">
      <c r="A4" s="12"/>
    </row>
    <row r="5" spans="1:1" x14ac:dyDescent="0.25">
      <c r="A5" s="12"/>
    </row>
    <row r="6" spans="1:1" x14ac:dyDescent="0.25">
      <c r="A6" s="12"/>
    </row>
    <row r="7" spans="1:1" x14ac:dyDescent="0.25">
      <c r="A7" s="12"/>
    </row>
    <row r="8" spans="1:1" x14ac:dyDescent="0.25">
      <c r="A8" s="12"/>
    </row>
    <row r="9" spans="1:1" x14ac:dyDescent="0.25">
      <c r="A9" s="12"/>
    </row>
    <row r="10" spans="1:1" x14ac:dyDescent="0.25">
      <c r="A10"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acro1">
                <anchor moveWithCells="1" sizeWithCells="1">
                  <from>
                    <xdr:col>6</xdr:col>
                    <xdr:colOff>581025</xdr:colOff>
                    <xdr:row>1</xdr:row>
                    <xdr:rowOff>66675</xdr:rowOff>
                  </from>
                  <to>
                    <xdr:col>9</xdr:col>
                    <xdr:colOff>47625</xdr:colOff>
                    <xdr:row>4</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B1:J22"/>
  <sheetViews>
    <sheetView workbookViewId="0">
      <selection activeCell="I22" sqref="I22"/>
    </sheetView>
  </sheetViews>
  <sheetFormatPr baseColWidth="10" defaultRowHeight="15" x14ac:dyDescent="0.25"/>
  <cols>
    <col min="3" max="3" width="18" customWidth="1"/>
  </cols>
  <sheetData>
    <row r="1" spans="2:10" x14ac:dyDescent="0.25">
      <c r="B1" s="6">
        <v>0</v>
      </c>
      <c r="C1" s="13"/>
      <c r="D1" s="6"/>
      <c r="E1" s="6"/>
      <c r="F1" s="6"/>
      <c r="G1" s="6"/>
      <c r="H1" s="6"/>
      <c r="I1" s="6"/>
      <c r="J1" s="6"/>
    </row>
    <row r="2" spans="2:10" x14ac:dyDescent="0.25">
      <c r="B2" s="6">
        <v>0</v>
      </c>
      <c r="C2" s="13"/>
      <c r="D2" s="6"/>
      <c r="E2" s="6"/>
      <c r="F2" s="6"/>
      <c r="G2" s="6"/>
      <c r="H2" s="6"/>
      <c r="I2" s="6"/>
      <c r="J2" s="6"/>
    </row>
    <row r="3" spans="2:10" x14ac:dyDescent="0.25">
      <c r="B3" s="6">
        <v>0</v>
      </c>
      <c r="C3" s="6"/>
      <c r="D3" s="6"/>
      <c r="E3" s="6"/>
      <c r="F3" s="6"/>
      <c r="G3" s="6"/>
      <c r="H3" s="6"/>
      <c r="I3" s="6"/>
      <c r="J3" s="6"/>
    </row>
    <row r="4" spans="2:10" x14ac:dyDescent="0.25">
      <c r="B4" s="6">
        <v>0</v>
      </c>
      <c r="C4" s="6"/>
      <c r="D4" s="6"/>
      <c r="E4" s="6"/>
      <c r="F4" s="6"/>
      <c r="G4" s="6"/>
      <c r="H4" s="6"/>
      <c r="I4" s="6"/>
      <c r="J4" s="6"/>
    </row>
    <row r="5" spans="2:10" x14ac:dyDescent="0.25">
      <c r="B5" s="6">
        <v>0</v>
      </c>
      <c r="C5" s="6"/>
      <c r="D5" s="6"/>
      <c r="E5" s="6"/>
      <c r="F5" s="6"/>
      <c r="G5" s="6"/>
      <c r="H5" s="6"/>
      <c r="I5" s="6"/>
      <c r="J5" s="6"/>
    </row>
    <row r="6" spans="2:10" x14ac:dyDescent="0.25">
      <c r="B6" s="10">
        <v>2</v>
      </c>
      <c r="C6" s="10"/>
      <c r="D6" s="6"/>
      <c r="E6" s="6"/>
      <c r="F6" s="6"/>
      <c r="G6" s="6"/>
      <c r="H6" s="6"/>
      <c r="I6" s="6"/>
      <c r="J6" s="6"/>
    </row>
    <row r="7" spans="2:10" x14ac:dyDescent="0.25">
      <c r="B7" s="10">
        <v>2</v>
      </c>
      <c r="C7" s="10"/>
      <c r="D7" s="6"/>
      <c r="E7" s="6"/>
      <c r="F7" s="6"/>
      <c r="G7" s="6"/>
      <c r="H7" s="6"/>
      <c r="I7" s="6"/>
      <c r="J7" s="6"/>
    </row>
    <row r="8" spans="2:10" x14ac:dyDescent="0.25">
      <c r="B8" s="10">
        <v>2</v>
      </c>
      <c r="C8" s="10"/>
      <c r="D8" s="6"/>
      <c r="E8" s="6"/>
      <c r="F8" s="6"/>
      <c r="G8" s="6"/>
      <c r="H8" s="6"/>
      <c r="I8" s="6"/>
      <c r="J8" s="6"/>
    </row>
    <row r="9" spans="2:10" x14ac:dyDescent="0.25">
      <c r="B9" s="10">
        <v>2</v>
      </c>
      <c r="C9" s="10"/>
      <c r="D9" s="6"/>
      <c r="E9" s="6"/>
      <c r="F9" s="6"/>
      <c r="G9" s="6"/>
      <c r="H9" s="6"/>
      <c r="I9" s="6"/>
      <c r="J9" s="6"/>
    </row>
    <row r="10" spans="2:10" x14ac:dyDescent="0.25">
      <c r="B10" s="10">
        <v>2</v>
      </c>
      <c r="C10" s="10"/>
      <c r="D10" s="6"/>
      <c r="E10" s="6"/>
      <c r="F10" s="6"/>
      <c r="G10" s="6"/>
      <c r="H10" s="6"/>
      <c r="I10" s="6"/>
      <c r="J10" s="6"/>
    </row>
    <row r="11" spans="2:10" x14ac:dyDescent="0.25">
      <c r="B11" s="4">
        <v>4</v>
      </c>
      <c r="C11" s="4"/>
      <c r="D11" s="4"/>
      <c r="E11" s="4"/>
      <c r="F11" s="6"/>
      <c r="G11" s="6"/>
      <c r="H11" s="6"/>
      <c r="I11" s="6"/>
      <c r="J11" s="6"/>
    </row>
    <row r="12" spans="2:10" x14ac:dyDescent="0.25">
      <c r="B12" s="4">
        <v>4</v>
      </c>
      <c r="C12" s="4"/>
      <c r="D12" s="4"/>
      <c r="E12" s="4"/>
      <c r="F12" s="6"/>
      <c r="G12" s="6"/>
      <c r="H12" s="6"/>
      <c r="I12" s="6"/>
      <c r="J12" s="6"/>
    </row>
    <row r="13" spans="2:10" x14ac:dyDescent="0.25">
      <c r="B13" s="4">
        <v>4</v>
      </c>
      <c r="C13" s="4"/>
      <c r="D13" s="4"/>
      <c r="E13" s="4"/>
      <c r="F13" s="6"/>
      <c r="G13" s="6"/>
      <c r="H13" s="6"/>
      <c r="I13" s="6"/>
      <c r="J13" s="6"/>
    </row>
    <row r="14" spans="2:10" x14ac:dyDescent="0.25">
      <c r="B14" s="4">
        <v>4</v>
      </c>
      <c r="C14" s="4"/>
      <c r="D14" s="4"/>
      <c r="E14" s="4"/>
      <c r="F14" s="6"/>
      <c r="G14" s="6"/>
      <c r="H14" s="6"/>
      <c r="I14" s="6"/>
      <c r="J14" s="6"/>
    </row>
    <row r="15" spans="2:10" x14ac:dyDescent="0.25">
      <c r="B15" s="14">
        <v>6</v>
      </c>
      <c r="C15" s="14"/>
      <c r="D15" s="14"/>
      <c r="E15" s="14"/>
      <c r="F15" s="14"/>
      <c r="G15" s="14"/>
      <c r="H15" s="6"/>
      <c r="I15" s="6"/>
      <c r="J15" s="6"/>
    </row>
    <row r="16" spans="2:10" x14ac:dyDescent="0.25">
      <c r="B16" s="14">
        <v>6</v>
      </c>
      <c r="C16" s="14"/>
      <c r="D16" s="14"/>
      <c r="E16" s="14"/>
      <c r="F16" s="14"/>
      <c r="G16" s="14"/>
      <c r="H16" s="6"/>
      <c r="I16" s="6"/>
      <c r="J16" s="6"/>
    </row>
    <row r="17" spans="2:10" x14ac:dyDescent="0.25">
      <c r="B17" s="14">
        <v>6</v>
      </c>
      <c r="C17" s="14"/>
      <c r="D17" s="14"/>
      <c r="E17" s="14"/>
      <c r="F17" s="14"/>
      <c r="G17" s="14"/>
      <c r="H17" s="6"/>
      <c r="I17" s="6"/>
      <c r="J17" s="6"/>
    </row>
    <row r="18" spans="2:10" x14ac:dyDescent="0.25">
      <c r="B18" s="14">
        <v>6</v>
      </c>
      <c r="C18" s="14"/>
      <c r="D18" s="14"/>
      <c r="E18" s="14"/>
      <c r="F18" s="14"/>
      <c r="G18" s="14"/>
      <c r="H18" s="6"/>
      <c r="I18" s="6"/>
      <c r="J18" s="6"/>
    </row>
    <row r="19" spans="2:10" x14ac:dyDescent="0.25">
      <c r="B19" s="38">
        <v>8</v>
      </c>
      <c r="C19" s="38"/>
      <c r="D19" s="38"/>
      <c r="E19" s="38"/>
      <c r="F19" s="38"/>
      <c r="G19" s="38"/>
      <c r="H19" s="38"/>
      <c r="I19" s="38"/>
      <c r="J19" s="6"/>
    </row>
    <row r="20" spans="2:10" x14ac:dyDescent="0.25">
      <c r="B20" s="38">
        <v>8</v>
      </c>
      <c r="C20" s="38"/>
      <c r="D20" s="38"/>
      <c r="E20" s="38"/>
      <c r="F20" s="38"/>
      <c r="G20" s="38"/>
      <c r="H20" s="38"/>
      <c r="I20" s="38"/>
      <c r="J20" s="6"/>
    </row>
    <row r="21" spans="2:10" x14ac:dyDescent="0.25">
      <c r="B21" s="38">
        <v>8</v>
      </c>
      <c r="C21" s="38"/>
      <c r="D21" s="38"/>
      <c r="E21" s="38"/>
      <c r="F21" s="38"/>
      <c r="G21" s="38"/>
      <c r="H21" s="38"/>
      <c r="I21" s="38"/>
      <c r="J21" s="6"/>
    </row>
    <row r="22" spans="2:10" x14ac:dyDescent="0.25">
      <c r="B22" s="38">
        <v>8</v>
      </c>
      <c r="C22" s="38"/>
      <c r="D22" s="38"/>
      <c r="E22" s="38"/>
      <c r="F22" s="38"/>
      <c r="G22" s="38"/>
      <c r="H22" s="38"/>
      <c r="I22" s="38"/>
      <c r="J22" s="6"/>
    </row>
  </sheetData>
  <sortState ref="B1:B22">
    <sortCondition ref="B1"/>
  </sortState>
  <pageMargins left="0.7" right="0.7" top="0.75" bottom="0.75" header="0.3" footer="0.3"/>
  <drawing r:id="rId1"/>
  <legacyDrawing r:id="rId2"/>
  <controls>
    <mc:AlternateContent xmlns:mc="http://schemas.openxmlformats.org/markup-compatibility/2006">
      <mc:Choice Requires="x14">
        <control shapeId="7172" r:id="rId3" name="generaDiagramaBarras">
          <controlPr defaultSize="0" autoLine="0" r:id="rId4">
            <anchor moveWithCells="1">
              <from>
                <xdr:col>7</xdr:col>
                <xdr:colOff>514350</xdr:colOff>
                <xdr:row>13</xdr:row>
                <xdr:rowOff>180975</xdr:rowOff>
              </from>
              <to>
                <xdr:col>10</xdr:col>
                <xdr:colOff>161925</xdr:colOff>
                <xdr:row>16</xdr:row>
                <xdr:rowOff>57150</xdr:rowOff>
              </to>
            </anchor>
          </controlPr>
        </control>
      </mc:Choice>
      <mc:Fallback>
        <control shapeId="7172" r:id="rId3" name="generaDiagramaBarras"/>
      </mc:Fallback>
    </mc:AlternateContent>
    <mc:AlternateContent xmlns:mc="http://schemas.openxmlformats.org/markup-compatibility/2006">
      <mc:Choice Requires="x14">
        <control shapeId="7171" r:id="rId5" name="CommandButton3">
          <controlPr defaultSize="0" autoLine="0" r:id="rId6">
            <anchor moveWithCells="1">
              <from>
                <xdr:col>7</xdr:col>
                <xdr:colOff>419100</xdr:colOff>
                <xdr:row>10</xdr:row>
                <xdr:rowOff>47625</xdr:rowOff>
              </from>
              <to>
                <xdr:col>10</xdr:col>
                <xdr:colOff>409575</xdr:colOff>
                <xdr:row>12</xdr:row>
                <xdr:rowOff>133350</xdr:rowOff>
              </to>
            </anchor>
          </controlPr>
        </control>
      </mc:Choice>
      <mc:Fallback>
        <control shapeId="7171" r:id="rId5" name="CommandButton3"/>
      </mc:Fallback>
    </mc:AlternateContent>
    <mc:AlternateContent xmlns:mc="http://schemas.openxmlformats.org/markup-compatibility/2006">
      <mc:Choice Requires="x14">
        <control shapeId="7169" r:id="rId7" name="generaFibonacci">
          <controlPr defaultSize="0" autoLine="0" r:id="rId8">
            <anchor moveWithCells="1">
              <from>
                <xdr:col>7</xdr:col>
                <xdr:colOff>371475</xdr:colOff>
                <xdr:row>1</xdr:row>
                <xdr:rowOff>85725</xdr:rowOff>
              </from>
              <to>
                <xdr:col>9</xdr:col>
                <xdr:colOff>542925</xdr:colOff>
                <xdr:row>4</xdr:row>
                <xdr:rowOff>85725</xdr:rowOff>
              </to>
            </anchor>
          </controlPr>
        </control>
      </mc:Choice>
      <mc:Fallback>
        <control shapeId="7169" r:id="rId7" name="generaFibonacci"/>
      </mc:Fallback>
    </mc:AlternateContent>
    <mc:AlternateContent xmlns:mc="http://schemas.openxmlformats.org/markup-compatibility/2006">
      <mc:Choice Requires="x14">
        <control shapeId="7170" r:id="rId9" name="SerieReducida">
          <controlPr defaultSize="0" autoLine="0" r:id="rId10">
            <anchor moveWithCells="1">
              <from>
                <xdr:col>7</xdr:col>
                <xdr:colOff>419100</xdr:colOff>
                <xdr:row>5</xdr:row>
                <xdr:rowOff>180975</xdr:rowOff>
              </from>
              <to>
                <xdr:col>12</xdr:col>
                <xdr:colOff>571500</xdr:colOff>
                <xdr:row>9</xdr:row>
                <xdr:rowOff>0</xdr:rowOff>
              </to>
            </anchor>
          </controlPr>
        </control>
      </mc:Choice>
      <mc:Fallback>
        <control shapeId="7170" r:id="rId9" name="SerieReducida"/>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B1:J22"/>
  <sheetViews>
    <sheetView workbookViewId="0">
      <selection activeCell="J22" sqref="J22"/>
    </sheetView>
  </sheetViews>
  <sheetFormatPr baseColWidth="10" defaultRowHeight="15" x14ac:dyDescent="0.25"/>
  <sheetData>
    <row r="1" spans="2:10" x14ac:dyDescent="0.25">
      <c r="B1" s="6">
        <v>0</v>
      </c>
      <c r="C1" s="6"/>
      <c r="D1" s="6"/>
      <c r="E1" s="6"/>
      <c r="F1" s="6"/>
      <c r="G1" s="6"/>
      <c r="H1" s="6"/>
      <c r="I1" s="6"/>
      <c r="J1" s="6"/>
    </row>
    <row r="2" spans="2:10" x14ac:dyDescent="0.25">
      <c r="B2" s="9">
        <v>1</v>
      </c>
      <c r="C2" s="6"/>
      <c r="D2" s="6"/>
      <c r="E2" s="6"/>
      <c r="F2" s="6"/>
      <c r="G2" s="6"/>
      <c r="H2" s="6"/>
      <c r="I2" s="6"/>
      <c r="J2" s="6"/>
    </row>
    <row r="3" spans="2:10" x14ac:dyDescent="0.25">
      <c r="B3" s="9">
        <v>1</v>
      </c>
      <c r="C3" s="6"/>
      <c r="D3" s="6"/>
      <c r="E3" s="6"/>
      <c r="F3" s="6"/>
      <c r="G3" s="6"/>
      <c r="H3" s="6"/>
      <c r="I3" s="6"/>
      <c r="J3" s="6"/>
    </row>
    <row r="4" spans="2:10" x14ac:dyDescent="0.25">
      <c r="B4" s="9">
        <v>1</v>
      </c>
      <c r="C4" s="6"/>
      <c r="D4" s="6"/>
      <c r="E4" s="6"/>
      <c r="F4" s="6"/>
      <c r="G4" s="6"/>
      <c r="H4" s="6"/>
      <c r="I4" s="6"/>
      <c r="J4" s="6"/>
    </row>
    <row r="5" spans="2:10" x14ac:dyDescent="0.25">
      <c r="B5" s="10">
        <v>2</v>
      </c>
      <c r="C5" s="10"/>
      <c r="D5" s="6"/>
      <c r="E5" s="6"/>
      <c r="F5" s="6"/>
      <c r="G5" s="6"/>
      <c r="H5" s="6"/>
      <c r="I5" s="6"/>
      <c r="J5" s="6"/>
    </row>
    <row r="6" spans="2:10" x14ac:dyDescent="0.25">
      <c r="B6" s="2">
        <v>3</v>
      </c>
      <c r="C6" s="2"/>
      <c r="D6" s="2"/>
      <c r="E6" s="6"/>
      <c r="F6" s="6"/>
      <c r="G6" s="6"/>
      <c r="H6" s="6"/>
      <c r="I6" s="6"/>
      <c r="J6" s="6"/>
    </row>
    <row r="7" spans="2:10" x14ac:dyDescent="0.25">
      <c r="B7" s="2">
        <v>3</v>
      </c>
      <c r="C7" s="2"/>
      <c r="D7" s="2"/>
      <c r="E7" s="6"/>
      <c r="F7" s="6"/>
      <c r="G7" s="6"/>
      <c r="H7" s="6"/>
      <c r="I7" s="6"/>
      <c r="J7" s="6"/>
    </row>
    <row r="8" spans="2:10" x14ac:dyDescent="0.25">
      <c r="B8" s="2">
        <v>3</v>
      </c>
      <c r="C8" s="2"/>
      <c r="D8" s="2"/>
      <c r="E8" s="6"/>
      <c r="F8" s="6"/>
      <c r="G8" s="6"/>
      <c r="H8" s="6"/>
      <c r="I8" s="6"/>
      <c r="J8" s="6"/>
    </row>
    <row r="9" spans="2:10" x14ac:dyDescent="0.25">
      <c r="B9" s="4">
        <v>4</v>
      </c>
      <c r="C9" s="4"/>
      <c r="D9" s="4"/>
      <c r="E9" s="4"/>
      <c r="F9" s="6"/>
      <c r="G9" s="6"/>
      <c r="H9" s="6"/>
      <c r="I9" s="6"/>
      <c r="J9" s="6"/>
    </row>
    <row r="10" spans="2:10" x14ac:dyDescent="0.25">
      <c r="B10" s="4">
        <v>4</v>
      </c>
      <c r="C10" s="4"/>
      <c r="D10" s="4"/>
      <c r="E10" s="4"/>
      <c r="F10" s="6"/>
      <c r="G10" s="6"/>
      <c r="H10" s="6"/>
      <c r="I10" s="6"/>
      <c r="J10" s="6"/>
    </row>
    <row r="11" spans="2:10" x14ac:dyDescent="0.25">
      <c r="B11" s="4">
        <v>4</v>
      </c>
      <c r="C11" s="4"/>
      <c r="D11" s="4"/>
      <c r="E11" s="4"/>
      <c r="F11" s="6"/>
      <c r="G11" s="6"/>
      <c r="H11" s="6"/>
      <c r="I11" s="6"/>
      <c r="J11" s="6"/>
    </row>
    <row r="12" spans="2:10" x14ac:dyDescent="0.25">
      <c r="B12" s="8">
        <v>5</v>
      </c>
      <c r="C12" s="8"/>
      <c r="D12" s="8"/>
      <c r="E12" s="8"/>
      <c r="F12" s="8"/>
      <c r="G12" s="6"/>
      <c r="H12" s="6"/>
      <c r="I12" s="6"/>
      <c r="J12" s="6"/>
    </row>
    <row r="13" spans="2:10" x14ac:dyDescent="0.25">
      <c r="B13" s="8">
        <v>5</v>
      </c>
      <c r="C13" s="8"/>
      <c r="D13" s="8"/>
      <c r="E13" s="8"/>
      <c r="F13" s="8"/>
      <c r="G13" s="6"/>
      <c r="H13" s="6"/>
      <c r="I13" s="6"/>
      <c r="J13" s="6"/>
    </row>
    <row r="14" spans="2:10" x14ac:dyDescent="0.25">
      <c r="B14" s="8">
        <v>5</v>
      </c>
      <c r="C14" s="8"/>
      <c r="D14" s="8"/>
      <c r="E14" s="8"/>
      <c r="F14" s="8"/>
      <c r="G14" s="6"/>
      <c r="H14" s="6"/>
      <c r="I14" s="6"/>
      <c r="J14" s="6"/>
    </row>
    <row r="15" spans="2:10" x14ac:dyDescent="0.25">
      <c r="B15" s="14">
        <v>6</v>
      </c>
      <c r="C15" s="14"/>
      <c r="D15" s="14"/>
      <c r="E15" s="14"/>
      <c r="F15" s="14"/>
      <c r="G15" s="14"/>
      <c r="H15" s="6"/>
      <c r="I15" s="6"/>
      <c r="J15" s="6"/>
    </row>
    <row r="16" spans="2:10" x14ac:dyDescent="0.25">
      <c r="B16" s="3">
        <v>7</v>
      </c>
      <c r="C16" s="3"/>
      <c r="D16" s="3"/>
      <c r="E16" s="3"/>
      <c r="F16" s="3"/>
      <c r="G16" s="3"/>
      <c r="H16" s="3"/>
      <c r="I16" s="6"/>
      <c r="J16" s="6"/>
    </row>
    <row r="17" spans="2:10" x14ac:dyDescent="0.25">
      <c r="B17" s="3">
        <v>7</v>
      </c>
      <c r="C17" s="3"/>
      <c r="D17" s="3"/>
      <c r="E17" s="3"/>
      <c r="F17" s="3"/>
      <c r="G17" s="3"/>
      <c r="H17" s="3"/>
      <c r="I17" s="6"/>
      <c r="J17" s="6"/>
    </row>
    <row r="18" spans="2:10" x14ac:dyDescent="0.25">
      <c r="B18" s="3">
        <v>7</v>
      </c>
      <c r="C18" s="3"/>
      <c r="D18" s="3"/>
      <c r="E18" s="3"/>
      <c r="F18" s="3"/>
      <c r="G18" s="3"/>
      <c r="H18" s="3"/>
      <c r="I18" s="6"/>
      <c r="J18" s="6"/>
    </row>
    <row r="19" spans="2:10" x14ac:dyDescent="0.25">
      <c r="B19" s="3">
        <v>7</v>
      </c>
      <c r="C19" s="3"/>
      <c r="D19" s="3"/>
      <c r="E19" s="3"/>
      <c r="F19" s="3"/>
      <c r="G19" s="3"/>
      <c r="H19" s="3"/>
      <c r="I19" s="6"/>
      <c r="J19" s="6"/>
    </row>
    <row r="20" spans="2:10" x14ac:dyDescent="0.25">
      <c r="B20" s="38">
        <v>8</v>
      </c>
      <c r="C20" s="38"/>
      <c r="D20" s="38"/>
      <c r="E20" s="38"/>
      <c r="F20" s="38"/>
      <c r="G20" s="38"/>
      <c r="H20" s="38"/>
      <c r="I20" s="38"/>
      <c r="J20" s="6"/>
    </row>
    <row r="21" spans="2:10" x14ac:dyDescent="0.25">
      <c r="B21" s="38">
        <v>8</v>
      </c>
      <c r="C21" s="38"/>
      <c r="D21" s="38"/>
      <c r="E21" s="38"/>
      <c r="F21" s="38"/>
      <c r="G21" s="38"/>
      <c r="H21" s="38"/>
      <c r="I21" s="38"/>
      <c r="J21" s="6"/>
    </row>
    <row r="22" spans="2:10" x14ac:dyDescent="0.25">
      <c r="B22" s="15">
        <v>9</v>
      </c>
      <c r="C22" s="15"/>
      <c r="D22" s="15"/>
      <c r="E22" s="15"/>
      <c r="F22" s="15"/>
      <c r="G22" s="15"/>
      <c r="H22" s="15"/>
      <c r="I22" s="15"/>
      <c r="J22" s="15"/>
    </row>
  </sheetData>
  <sortState ref="B1:B22">
    <sortCondition ref="B1"/>
  </sortState>
  <pageMargins left="0.7" right="0.7" top="0.75" bottom="0.75" header="0.3" footer="0.3"/>
  <drawing r:id="rId1"/>
  <legacyDrawing r:id="rId2"/>
  <controls>
    <mc:AlternateContent xmlns:mc="http://schemas.openxmlformats.org/markup-compatibility/2006">
      <mc:Choice Requires="x14">
        <control shapeId="8193" r:id="rId3" name="CommandButton1">
          <controlPr defaultSize="0" autoLine="0" r:id="rId4">
            <anchor moveWithCells="1">
              <from>
                <xdr:col>7</xdr:col>
                <xdr:colOff>276225</xdr:colOff>
                <xdr:row>0</xdr:row>
                <xdr:rowOff>171450</xdr:rowOff>
              </from>
              <to>
                <xdr:col>11</xdr:col>
                <xdr:colOff>66675</xdr:colOff>
                <xdr:row>3</xdr:row>
                <xdr:rowOff>114300</xdr:rowOff>
              </to>
            </anchor>
          </controlPr>
        </control>
      </mc:Choice>
      <mc:Fallback>
        <control shapeId="8193"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B1:B4"/>
  <sheetViews>
    <sheetView workbookViewId="0">
      <selection activeCell="F10" sqref="F10"/>
    </sheetView>
  </sheetViews>
  <sheetFormatPr baseColWidth="10" defaultRowHeight="15" x14ac:dyDescent="0.25"/>
  <cols>
    <col min="2" max="2" width="42.7109375" bestFit="1" customWidth="1"/>
  </cols>
  <sheetData>
    <row r="1" spans="2:2" x14ac:dyDescent="0.25">
      <c r="B1" t="s">
        <v>300</v>
      </c>
    </row>
    <row r="4" spans="2:2" x14ac:dyDescent="0.25">
      <c r="B4" t="s">
        <v>2</v>
      </c>
    </row>
  </sheetData>
  <pageMargins left="0.7" right="0.7" top="0.75" bottom="0.75" header="0.3" footer="0.3"/>
  <drawing r:id="rId1"/>
  <legacyDrawing r:id="rId2"/>
  <controls>
    <mc:AlternateContent xmlns:mc="http://schemas.openxmlformats.org/markup-compatibility/2006">
      <mc:Choice Requires="x14">
        <control shapeId="9217" r:id="rId3" name="CommandButton1">
          <controlPr defaultSize="0" autoLine="0" r:id="rId4">
            <anchor moveWithCells="1">
              <from>
                <xdr:col>5</xdr:col>
                <xdr:colOff>171450</xdr:colOff>
                <xdr:row>2</xdr:row>
                <xdr:rowOff>0</xdr:rowOff>
              </from>
              <to>
                <xdr:col>8</xdr:col>
                <xdr:colOff>133350</xdr:colOff>
                <xdr:row>4</xdr:row>
                <xdr:rowOff>171450</xdr:rowOff>
              </to>
            </anchor>
          </controlPr>
        </control>
      </mc:Choice>
      <mc:Fallback>
        <control shapeId="9217"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A7"/>
  <sheetViews>
    <sheetView workbookViewId="0">
      <selection sqref="A1:A1048576"/>
    </sheetView>
  </sheetViews>
  <sheetFormatPr baseColWidth="10" defaultRowHeight="15" x14ac:dyDescent="0.25"/>
  <sheetData>
    <row r="1" spans="1:1" x14ac:dyDescent="0.25">
      <c r="A1">
        <v>2</v>
      </c>
    </row>
    <row r="2" spans="1:1" x14ac:dyDescent="0.25">
      <c r="A2">
        <v>3</v>
      </c>
    </row>
    <row r="3" spans="1:1" x14ac:dyDescent="0.25">
      <c r="A3">
        <v>5</v>
      </c>
    </row>
    <row r="4" spans="1:1" x14ac:dyDescent="0.25">
      <c r="A4">
        <v>7</v>
      </c>
    </row>
    <row r="5" spans="1:1" x14ac:dyDescent="0.25">
      <c r="A5">
        <v>11</v>
      </c>
    </row>
    <row r="6" spans="1:1" x14ac:dyDescent="0.25">
      <c r="A6">
        <v>13</v>
      </c>
    </row>
    <row r="7" spans="1:1" x14ac:dyDescent="0.25">
      <c r="A7">
        <v>17</v>
      </c>
    </row>
  </sheetData>
  <pageMargins left="0.7" right="0.7" top="0.75" bottom="0.75" header="0.3" footer="0.3"/>
  <drawing r:id="rId1"/>
  <legacyDrawing r:id="rId2"/>
  <controls>
    <mc:AlternateContent xmlns:mc="http://schemas.openxmlformats.org/markup-compatibility/2006">
      <mc:Choice Requires="x14">
        <control shapeId="10241" r:id="rId3" name="CommandButton1">
          <controlPr defaultSize="0" autoLine="0" r:id="rId4">
            <anchor moveWithCells="1">
              <from>
                <xdr:col>6</xdr:col>
                <xdr:colOff>152400</xdr:colOff>
                <xdr:row>1</xdr:row>
                <xdr:rowOff>19050</xdr:rowOff>
              </from>
              <to>
                <xdr:col>8</xdr:col>
                <xdr:colOff>342900</xdr:colOff>
                <xdr:row>3</xdr:row>
                <xdr:rowOff>152400</xdr:rowOff>
              </to>
            </anchor>
          </controlPr>
        </control>
      </mc:Choice>
      <mc:Fallback>
        <control shapeId="10241"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G255"/>
  <sheetViews>
    <sheetView workbookViewId="0">
      <selection activeCell="E15" sqref="E15"/>
    </sheetView>
  </sheetViews>
  <sheetFormatPr baseColWidth="10" defaultRowHeight="15" x14ac:dyDescent="0.25"/>
  <cols>
    <col min="1" max="1" width="15.140625" bestFit="1" customWidth="1"/>
  </cols>
  <sheetData>
    <row r="1" spans="1:7" x14ac:dyDescent="0.25">
      <c r="A1" s="18" t="s">
        <v>314</v>
      </c>
    </row>
    <row r="2" spans="1:7" x14ac:dyDescent="0.25">
      <c r="A2" t="s">
        <v>3</v>
      </c>
    </row>
    <row r="3" spans="1:7" x14ac:dyDescent="0.25">
      <c r="A3" t="s">
        <v>4</v>
      </c>
    </row>
    <row r="4" spans="1:7" x14ac:dyDescent="0.25">
      <c r="A4" t="s">
        <v>5</v>
      </c>
    </row>
    <row r="5" spans="1:7" x14ac:dyDescent="0.25">
      <c r="A5" t="s">
        <v>6</v>
      </c>
      <c r="B5">
        <v>1</v>
      </c>
      <c r="E5">
        <v>4</v>
      </c>
      <c r="F5">
        <v>5</v>
      </c>
      <c r="G5">
        <v>6.4031242374328485</v>
      </c>
    </row>
    <row r="6" spans="1:7" x14ac:dyDescent="0.25">
      <c r="A6" t="s">
        <v>7</v>
      </c>
      <c r="B6">
        <v>2</v>
      </c>
      <c r="E6">
        <v>-7</v>
      </c>
      <c r="F6">
        <v>8</v>
      </c>
      <c r="G6">
        <v>10.63014581273465</v>
      </c>
    </row>
    <row r="7" spans="1:7" x14ac:dyDescent="0.25">
      <c r="A7" t="s">
        <v>8</v>
      </c>
    </row>
    <row r="8" spans="1:7" x14ac:dyDescent="0.25">
      <c r="A8" t="s">
        <v>9</v>
      </c>
    </row>
    <row r="9" spans="1:7" x14ac:dyDescent="0.25">
      <c r="A9" t="s">
        <v>10</v>
      </c>
    </row>
    <row r="10" spans="1:7" ht="30" x14ac:dyDescent="0.25">
      <c r="A10" s="16" t="s">
        <v>11</v>
      </c>
    </row>
    <row r="11" spans="1:7" x14ac:dyDescent="0.25">
      <c r="A11" t="s">
        <v>12</v>
      </c>
    </row>
    <row r="12" spans="1:7" x14ac:dyDescent="0.25">
      <c r="A12" t="s">
        <v>13</v>
      </c>
    </row>
    <row r="13" spans="1:7" x14ac:dyDescent="0.25">
      <c r="A13" t="s">
        <v>14</v>
      </c>
      <c r="B13" s="18" t="s">
        <v>240</v>
      </c>
    </row>
    <row r="14" spans="1:7" x14ac:dyDescent="0.25">
      <c r="A14" t="s">
        <v>15</v>
      </c>
      <c r="B14" t="s">
        <v>241</v>
      </c>
    </row>
    <row r="15" spans="1:7" x14ac:dyDescent="0.25">
      <c r="A15" t="s">
        <v>16</v>
      </c>
    </row>
    <row r="16" spans="1:7" x14ac:dyDescent="0.25">
      <c r="A16" t="s">
        <v>17</v>
      </c>
    </row>
    <row r="17" spans="1:1" x14ac:dyDescent="0.25">
      <c r="A17" t="s">
        <v>18</v>
      </c>
    </row>
    <row r="18" spans="1:1" x14ac:dyDescent="0.25">
      <c r="A18" t="s">
        <v>19</v>
      </c>
    </row>
    <row r="19" spans="1:1" x14ac:dyDescent="0.25">
      <c r="A19" t="s">
        <v>20</v>
      </c>
    </row>
    <row r="20" spans="1:1" x14ac:dyDescent="0.25">
      <c r="A20" t="s">
        <v>21</v>
      </c>
    </row>
    <row r="21" spans="1:1" x14ac:dyDescent="0.25">
      <c r="A21" t="s">
        <v>22</v>
      </c>
    </row>
    <row r="22" spans="1:1" x14ac:dyDescent="0.25">
      <c r="A22" t="s">
        <v>23</v>
      </c>
    </row>
    <row r="23" spans="1:1" x14ac:dyDescent="0.25">
      <c r="A23" t="s">
        <v>24</v>
      </c>
    </row>
    <row r="24" spans="1:1" x14ac:dyDescent="0.25">
      <c r="A24" t="s">
        <v>25</v>
      </c>
    </row>
    <row r="25" spans="1:1" x14ac:dyDescent="0.25">
      <c r="A25" t="s">
        <v>26</v>
      </c>
    </row>
    <row r="26" spans="1:1" x14ac:dyDescent="0.25">
      <c r="A26" t="s">
        <v>27</v>
      </c>
    </row>
    <row r="27" spans="1:1" x14ac:dyDescent="0.25">
      <c r="A27" t="s">
        <v>28</v>
      </c>
    </row>
    <row r="28" spans="1:1" x14ac:dyDescent="0.25">
      <c r="A28" t="s">
        <v>29</v>
      </c>
    </row>
    <row r="29" spans="1:1" x14ac:dyDescent="0.25">
      <c r="A29" t="s">
        <v>30</v>
      </c>
    </row>
    <row r="30" spans="1:1" x14ac:dyDescent="0.25">
      <c r="A30" t="s">
        <v>31</v>
      </c>
    </row>
    <row r="31" spans="1:1" x14ac:dyDescent="0.25">
      <c r="A31" t="s">
        <v>32</v>
      </c>
    </row>
    <row r="32" spans="1:1" x14ac:dyDescent="0.25">
      <c r="A32" t="s">
        <v>33</v>
      </c>
    </row>
    <row r="33" spans="1:1" x14ac:dyDescent="0.25">
      <c r="A33" t="s">
        <v>34</v>
      </c>
    </row>
    <row r="34" spans="1:1" x14ac:dyDescent="0.25">
      <c r="A34" t="s">
        <v>35</v>
      </c>
    </row>
    <row r="35" spans="1:1" x14ac:dyDescent="0.25">
      <c r="A35" t="s">
        <v>36</v>
      </c>
    </row>
    <row r="36" spans="1:1" x14ac:dyDescent="0.25">
      <c r="A36" t="s">
        <v>37</v>
      </c>
    </row>
    <row r="37" spans="1:1" x14ac:dyDescent="0.25">
      <c r="A37" t="s">
        <v>38</v>
      </c>
    </row>
    <row r="38" spans="1:1" x14ac:dyDescent="0.25">
      <c r="A38" t="s">
        <v>39</v>
      </c>
    </row>
    <row r="39" spans="1:1" x14ac:dyDescent="0.25">
      <c r="A39" s="17" t="s">
        <v>315</v>
      </c>
    </row>
    <row r="40" spans="1:1" x14ac:dyDescent="0.25">
      <c r="A40" t="s">
        <v>40</v>
      </c>
    </row>
    <row r="41" spans="1:1" x14ac:dyDescent="0.25">
      <c r="A41" t="s">
        <v>41</v>
      </c>
    </row>
    <row r="42" spans="1:1" x14ac:dyDescent="0.25">
      <c r="A42" t="s">
        <v>42</v>
      </c>
    </row>
    <row r="43" spans="1:1" x14ac:dyDescent="0.25">
      <c r="A43" t="s">
        <v>43</v>
      </c>
    </row>
    <row r="44" spans="1:1" x14ac:dyDescent="0.25">
      <c r="A44" t="s">
        <v>44</v>
      </c>
    </row>
    <row r="45" spans="1:1" x14ac:dyDescent="0.25">
      <c r="A45" t="s">
        <v>45</v>
      </c>
    </row>
    <row r="46" spans="1:1" x14ac:dyDescent="0.25">
      <c r="A46" t="s">
        <v>46</v>
      </c>
    </row>
    <row r="47" spans="1:1" x14ac:dyDescent="0.25">
      <c r="A47" t="s">
        <v>47</v>
      </c>
    </row>
    <row r="48" spans="1:1" x14ac:dyDescent="0.25">
      <c r="A48">
        <v>0</v>
      </c>
    </row>
    <row r="49" spans="1:1" x14ac:dyDescent="0.25">
      <c r="A49">
        <v>1</v>
      </c>
    </row>
    <row r="50" spans="1:1" x14ac:dyDescent="0.25">
      <c r="A50">
        <v>2</v>
      </c>
    </row>
    <row r="51" spans="1:1" x14ac:dyDescent="0.25">
      <c r="A51">
        <v>3</v>
      </c>
    </row>
    <row r="52" spans="1:1" x14ac:dyDescent="0.25">
      <c r="A52">
        <v>4</v>
      </c>
    </row>
    <row r="53" spans="1:1" x14ac:dyDescent="0.25">
      <c r="A53">
        <v>5</v>
      </c>
    </row>
    <row r="54" spans="1:1" x14ac:dyDescent="0.25">
      <c r="A54">
        <v>6</v>
      </c>
    </row>
    <row r="55" spans="1:1" x14ac:dyDescent="0.25">
      <c r="A55">
        <v>7</v>
      </c>
    </row>
    <row r="56" spans="1:1" x14ac:dyDescent="0.25">
      <c r="A56">
        <v>8</v>
      </c>
    </row>
    <row r="57" spans="1:1" x14ac:dyDescent="0.25">
      <c r="A57">
        <v>9</v>
      </c>
    </row>
    <row r="58" spans="1:1" x14ac:dyDescent="0.25">
      <c r="A58" t="s">
        <v>48</v>
      </c>
    </row>
    <row r="59" spans="1:1" x14ac:dyDescent="0.25">
      <c r="A59" t="s">
        <v>49</v>
      </c>
    </row>
    <row r="60" spans="1:1" x14ac:dyDescent="0.25">
      <c r="A60" t="s">
        <v>50</v>
      </c>
    </row>
    <row r="61" spans="1:1" x14ac:dyDescent="0.25">
      <c r="A61" t="s">
        <v>51</v>
      </c>
    </row>
    <row r="62" spans="1:1" x14ac:dyDescent="0.25">
      <c r="A62" t="s">
        <v>52</v>
      </c>
    </row>
    <row r="63" spans="1:1" x14ac:dyDescent="0.25">
      <c r="A63" t="s">
        <v>53</v>
      </c>
    </row>
    <row r="64" spans="1:1" x14ac:dyDescent="0.25">
      <c r="A64" t="s">
        <v>54</v>
      </c>
    </row>
    <row r="65" spans="1:1" x14ac:dyDescent="0.25">
      <c r="A65" t="s">
        <v>55</v>
      </c>
    </row>
    <row r="66" spans="1:1" x14ac:dyDescent="0.25">
      <c r="A66" t="s">
        <v>56</v>
      </c>
    </row>
    <row r="67" spans="1:1" x14ac:dyDescent="0.25">
      <c r="A67" t="s">
        <v>57</v>
      </c>
    </row>
    <row r="68" spans="1:1" x14ac:dyDescent="0.25">
      <c r="A68" t="s">
        <v>58</v>
      </c>
    </row>
    <row r="69" spans="1:1" x14ac:dyDescent="0.25">
      <c r="A69" t="s">
        <v>59</v>
      </c>
    </row>
    <row r="70" spans="1:1" x14ac:dyDescent="0.25">
      <c r="A70" t="s">
        <v>60</v>
      </c>
    </row>
    <row r="71" spans="1:1" x14ac:dyDescent="0.25">
      <c r="A71" t="s">
        <v>61</v>
      </c>
    </row>
    <row r="72" spans="1:1" x14ac:dyDescent="0.25">
      <c r="A72" t="s">
        <v>62</v>
      </c>
    </row>
    <row r="73" spans="1:1" x14ac:dyDescent="0.25">
      <c r="A73" t="s">
        <v>63</v>
      </c>
    </row>
    <row r="74" spans="1:1" x14ac:dyDescent="0.25">
      <c r="A74" t="s">
        <v>64</v>
      </c>
    </row>
    <row r="75" spans="1:1" x14ac:dyDescent="0.25">
      <c r="A75" t="s">
        <v>65</v>
      </c>
    </row>
    <row r="76" spans="1:1" x14ac:dyDescent="0.25">
      <c r="A76" t="s">
        <v>66</v>
      </c>
    </row>
    <row r="77" spans="1:1" x14ac:dyDescent="0.25">
      <c r="A77" t="s">
        <v>67</v>
      </c>
    </row>
    <row r="78" spans="1:1" x14ac:dyDescent="0.25">
      <c r="A78" t="s">
        <v>68</v>
      </c>
    </row>
    <row r="79" spans="1:1" x14ac:dyDescent="0.25">
      <c r="A79" t="s">
        <v>69</v>
      </c>
    </row>
    <row r="80" spans="1:1" x14ac:dyDescent="0.25">
      <c r="A80" t="s">
        <v>70</v>
      </c>
    </row>
    <row r="81" spans="1:1" x14ac:dyDescent="0.25">
      <c r="A81" t="s">
        <v>71</v>
      </c>
    </row>
    <row r="82" spans="1:1" x14ac:dyDescent="0.25">
      <c r="A82" t="s">
        <v>72</v>
      </c>
    </row>
    <row r="83" spans="1:1" x14ac:dyDescent="0.25">
      <c r="A83" t="s">
        <v>73</v>
      </c>
    </row>
    <row r="84" spans="1:1" x14ac:dyDescent="0.25">
      <c r="A84" t="s">
        <v>74</v>
      </c>
    </row>
    <row r="85" spans="1:1" x14ac:dyDescent="0.25">
      <c r="A85" t="s">
        <v>75</v>
      </c>
    </row>
    <row r="86" spans="1:1" x14ac:dyDescent="0.25">
      <c r="A86" t="s">
        <v>76</v>
      </c>
    </row>
    <row r="87" spans="1:1" x14ac:dyDescent="0.25">
      <c r="A87" t="s">
        <v>77</v>
      </c>
    </row>
    <row r="88" spans="1:1" x14ac:dyDescent="0.25">
      <c r="A88" t="s">
        <v>78</v>
      </c>
    </row>
    <row r="89" spans="1:1" x14ac:dyDescent="0.25">
      <c r="A89" t="s">
        <v>79</v>
      </c>
    </row>
    <row r="90" spans="1:1" x14ac:dyDescent="0.25">
      <c r="A90" t="s">
        <v>80</v>
      </c>
    </row>
    <row r="91" spans="1:1" x14ac:dyDescent="0.25">
      <c r="A91" t="s">
        <v>81</v>
      </c>
    </row>
    <row r="92" spans="1:1" x14ac:dyDescent="0.25">
      <c r="A92" t="s">
        <v>82</v>
      </c>
    </row>
    <row r="93" spans="1:1" x14ac:dyDescent="0.25">
      <c r="A93" t="s">
        <v>83</v>
      </c>
    </row>
    <row r="94" spans="1:1" x14ac:dyDescent="0.25">
      <c r="A94" t="s">
        <v>84</v>
      </c>
    </row>
    <row r="95" spans="1:1" x14ac:dyDescent="0.25">
      <c r="A95" t="s">
        <v>85</v>
      </c>
    </row>
    <row r="96" spans="1:1" x14ac:dyDescent="0.25">
      <c r="A96" t="s">
        <v>86</v>
      </c>
    </row>
    <row r="97" spans="1:1" x14ac:dyDescent="0.25">
      <c r="A97" t="s">
        <v>87</v>
      </c>
    </row>
    <row r="98" spans="1:1" x14ac:dyDescent="0.25">
      <c r="A98" t="s">
        <v>88</v>
      </c>
    </row>
    <row r="99" spans="1:1" x14ac:dyDescent="0.25">
      <c r="A99" t="s">
        <v>89</v>
      </c>
    </row>
    <row r="100" spans="1:1" x14ac:dyDescent="0.25">
      <c r="A100" t="s">
        <v>90</v>
      </c>
    </row>
    <row r="101" spans="1:1" x14ac:dyDescent="0.25">
      <c r="A101" t="s">
        <v>91</v>
      </c>
    </row>
    <row r="102" spans="1:1" x14ac:dyDescent="0.25">
      <c r="A102" t="s">
        <v>92</v>
      </c>
    </row>
    <row r="103" spans="1:1" x14ac:dyDescent="0.25">
      <c r="A103" t="s">
        <v>93</v>
      </c>
    </row>
    <row r="104" spans="1:1" x14ac:dyDescent="0.25">
      <c r="A104" t="s">
        <v>94</v>
      </c>
    </row>
    <row r="105" spans="1:1" x14ac:dyDescent="0.25">
      <c r="A105" t="s">
        <v>95</v>
      </c>
    </row>
    <row r="106" spans="1:1" x14ac:dyDescent="0.25">
      <c r="A106" t="s">
        <v>96</v>
      </c>
    </row>
    <row r="107" spans="1:1" x14ac:dyDescent="0.25">
      <c r="A107" t="s">
        <v>97</v>
      </c>
    </row>
    <row r="108" spans="1:1" x14ac:dyDescent="0.25">
      <c r="A108" t="s">
        <v>98</v>
      </c>
    </row>
    <row r="109" spans="1:1" x14ac:dyDescent="0.25">
      <c r="A109" t="s">
        <v>99</v>
      </c>
    </row>
    <row r="110" spans="1:1" x14ac:dyDescent="0.25">
      <c r="A110" t="s">
        <v>100</v>
      </c>
    </row>
    <row r="111" spans="1:1" x14ac:dyDescent="0.25">
      <c r="A111" t="s">
        <v>101</v>
      </c>
    </row>
    <row r="112" spans="1:1" x14ac:dyDescent="0.25">
      <c r="A112" t="s">
        <v>102</v>
      </c>
    </row>
    <row r="113" spans="1:1" x14ac:dyDescent="0.25">
      <c r="A113" t="s">
        <v>103</v>
      </c>
    </row>
    <row r="114" spans="1:1" x14ac:dyDescent="0.25">
      <c r="A114" t="s">
        <v>104</v>
      </c>
    </row>
    <row r="115" spans="1:1" x14ac:dyDescent="0.25">
      <c r="A115" t="s">
        <v>105</v>
      </c>
    </row>
    <row r="116" spans="1:1" x14ac:dyDescent="0.25">
      <c r="A116" t="s">
        <v>106</v>
      </c>
    </row>
    <row r="117" spans="1:1" x14ac:dyDescent="0.25">
      <c r="A117" t="s">
        <v>107</v>
      </c>
    </row>
    <row r="118" spans="1:1" x14ac:dyDescent="0.25">
      <c r="A118" t="s">
        <v>108</v>
      </c>
    </row>
    <row r="119" spans="1:1" x14ac:dyDescent="0.25">
      <c r="A119" t="s">
        <v>109</v>
      </c>
    </row>
    <row r="120" spans="1:1" x14ac:dyDescent="0.25">
      <c r="A120" t="s">
        <v>110</v>
      </c>
    </row>
    <row r="121" spans="1:1" x14ac:dyDescent="0.25">
      <c r="A121" t="s">
        <v>111</v>
      </c>
    </row>
    <row r="122" spans="1:1" x14ac:dyDescent="0.25">
      <c r="A122" t="s">
        <v>112</v>
      </c>
    </row>
    <row r="123" spans="1:1" x14ac:dyDescent="0.25">
      <c r="A123" t="s">
        <v>113</v>
      </c>
    </row>
    <row r="124" spans="1:1" x14ac:dyDescent="0.25">
      <c r="A124" t="s">
        <v>114</v>
      </c>
    </row>
    <row r="125" spans="1:1" x14ac:dyDescent="0.25">
      <c r="A125" t="s">
        <v>115</v>
      </c>
    </row>
    <row r="126" spans="1:1" x14ac:dyDescent="0.25">
      <c r="A126" t="s">
        <v>116</v>
      </c>
    </row>
    <row r="127" spans="1:1" x14ac:dyDescent="0.25">
      <c r="A127" t="s">
        <v>316</v>
      </c>
    </row>
    <row r="128" spans="1:1" x14ac:dyDescent="0.25">
      <c r="A128" t="s">
        <v>117</v>
      </c>
    </row>
    <row r="129" spans="1:1" x14ac:dyDescent="0.25">
      <c r="A129" t="s">
        <v>317</v>
      </c>
    </row>
    <row r="130" spans="1:1" x14ac:dyDescent="0.25">
      <c r="A130" t="s">
        <v>118</v>
      </c>
    </row>
    <row r="131" spans="1:1" x14ac:dyDescent="0.25">
      <c r="A131" t="s">
        <v>119</v>
      </c>
    </row>
    <row r="132" spans="1:1" x14ac:dyDescent="0.25">
      <c r="A132" t="s">
        <v>120</v>
      </c>
    </row>
    <row r="133" spans="1:1" x14ac:dyDescent="0.25">
      <c r="A133" t="s">
        <v>121</v>
      </c>
    </row>
    <row r="134" spans="1:1" x14ac:dyDescent="0.25">
      <c r="A134" t="s">
        <v>122</v>
      </c>
    </row>
    <row r="135" spans="1:1" x14ac:dyDescent="0.25">
      <c r="A135" t="s">
        <v>123</v>
      </c>
    </row>
    <row r="136" spans="1:1" x14ac:dyDescent="0.25">
      <c r="A136" t="s">
        <v>124</v>
      </c>
    </row>
    <row r="137" spans="1:1" x14ac:dyDescent="0.25">
      <c r="A137" t="s">
        <v>125</v>
      </c>
    </row>
    <row r="138" spans="1:1" x14ac:dyDescent="0.25">
      <c r="A138" t="s">
        <v>126</v>
      </c>
    </row>
    <row r="139" spans="1:1" x14ac:dyDescent="0.25">
      <c r="A139" t="s">
        <v>127</v>
      </c>
    </row>
    <row r="140" spans="1:1" x14ac:dyDescent="0.25">
      <c r="A140" t="s">
        <v>128</v>
      </c>
    </row>
    <row r="141" spans="1:1" x14ac:dyDescent="0.25">
      <c r="A141" t="s">
        <v>318</v>
      </c>
    </row>
    <row r="142" spans="1:1" x14ac:dyDescent="0.25">
      <c r="A142" t="s">
        <v>129</v>
      </c>
    </row>
    <row r="143" spans="1:1" x14ac:dyDescent="0.25">
      <c r="A143" t="s">
        <v>319</v>
      </c>
    </row>
    <row r="144" spans="1:1" x14ac:dyDescent="0.25">
      <c r="A144" t="s">
        <v>320</v>
      </c>
    </row>
    <row r="145" spans="1:1" x14ac:dyDescent="0.25">
      <c r="A145" t="s">
        <v>130</v>
      </c>
    </row>
    <row r="146" spans="1:1" x14ac:dyDescent="0.25">
      <c r="A146" t="s">
        <v>131</v>
      </c>
    </row>
    <row r="147" spans="1:1" x14ac:dyDescent="0.25">
      <c r="A147" t="s">
        <v>132</v>
      </c>
    </row>
    <row r="148" spans="1:1" x14ac:dyDescent="0.25">
      <c r="A148" t="s">
        <v>133</v>
      </c>
    </row>
    <row r="149" spans="1:1" x14ac:dyDescent="0.25">
      <c r="A149" t="s">
        <v>134</v>
      </c>
    </row>
    <row r="150" spans="1:1" x14ac:dyDescent="0.25">
      <c r="A150" t="s">
        <v>135</v>
      </c>
    </row>
    <row r="151" spans="1:1" x14ac:dyDescent="0.25">
      <c r="A151" t="s">
        <v>136</v>
      </c>
    </row>
    <row r="152" spans="1:1" x14ac:dyDescent="0.25">
      <c r="A152" t="s">
        <v>137</v>
      </c>
    </row>
    <row r="153" spans="1:1" x14ac:dyDescent="0.25">
      <c r="A153" t="s">
        <v>138</v>
      </c>
    </row>
    <row r="154" spans="1:1" x14ac:dyDescent="0.25">
      <c r="A154" t="s">
        <v>139</v>
      </c>
    </row>
    <row r="155" spans="1:1" x14ac:dyDescent="0.25">
      <c r="A155" t="s">
        <v>140</v>
      </c>
    </row>
    <row r="156" spans="1:1" x14ac:dyDescent="0.25">
      <c r="A156" t="s">
        <v>141</v>
      </c>
    </row>
    <row r="157" spans="1:1" x14ac:dyDescent="0.25">
      <c r="A157" t="s">
        <v>321</v>
      </c>
    </row>
    <row r="158" spans="1:1" x14ac:dyDescent="0.25">
      <c r="A158" t="s">
        <v>142</v>
      </c>
    </row>
    <row r="159" spans="1:1" x14ac:dyDescent="0.25">
      <c r="A159" t="s">
        <v>143</v>
      </c>
    </row>
    <row r="160" spans="1:1" x14ac:dyDescent="0.25">
      <c r="A160" t="s">
        <v>144</v>
      </c>
    </row>
    <row r="161" spans="1:1" x14ac:dyDescent="0.25">
      <c r="A161" t="s">
        <v>145</v>
      </c>
    </row>
    <row r="162" spans="1:1" x14ac:dyDescent="0.25">
      <c r="A162" t="s">
        <v>146</v>
      </c>
    </row>
    <row r="163" spans="1:1" x14ac:dyDescent="0.25">
      <c r="A163" t="s">
        <v>147</v>
      </c>
    </row>
    <row r="164" spans="1:1" x14ac:dyDescent="0.25">
      <c r="A164" t="s">
        <v>148</v>
      </c>
    </row>
    <row r="165" spans="1:1" x14ac:dyDescent="0.25">
      <c r="A165" t="s">
        <v>149</v>
      </c>
    </row>
    <row r="166" spans="1:1" x14ac:dyDescent="0.25">
      <c r="A166" t="s">
        <v>150</v>
      </c>
    </row>
    <row r="167" spans="1:1" x14ac:dyDescent="0.25">
      <c r="A167" t="s">
        <v>151</v>
      </c>
    </row>
    <row r="168" spans="1:1" x14ac:dyDescent="0.25">
      <c r="A168" t="s">
        <v>152</v>
      </c>
    </row>
    <row r="169" spans="1:1" x14ac:dyDescent="0.25">
      <c r="A169" t="s">
        <v>153</v>
      </c>
    </row>
    <row r="170" spans="1:1" x14ac:dyDescent="0.25">
      <c r="A170" t="s">
        <v>154</v>
      </c>
    </row>
    <row r="171" spans="1:1" x14ac:dyDescent="0.25">
      <c r="A171" t="s">
        <v>155</v>
      </c>
    </row>
    <row r="172" spans="1:1" x14ac:dyDescent="0.25">
      <c r="A172" t="s">
        <v>156</v>
      </c>
    </row>
    <row r="173" spans="1:1" x14ac:dyDescent="0.25">
      <c r="A173" t="s">
        <v>157</v>
      </c>
    </row>
    <row r="174" spans="1:1" x14ac:dyDescent="0.25">
      <c r="A174" t="s">
        <v>158</v>
      </c>
    </row>
    <row r="175" spans="1:1" x14ac:dyDescent="0.25">
      <c r="A175" t="s">
        <v>159</v>
      </c>
    </row>
    <row r="176" spans="1:1" x14ac:dyDescent="0.25">
      <c r="A176" t="s">
        <v>160</v>
      </c>
    </row>
    <row r="177" spans="1:1" x14ac:dyDescent="0.25">
      <c r="A177" t="s">
        <v>161</v>
      </c>
    </row>
    <row r="178" spans="1:1" x14ac:dyDescent="0.25">
      <c r="A178" t="s">
        <v>162</v>
      </c>
    </row>
    <row r="179" spans="1:1" x14ac:dyDescent="0.25">
      <c r="A179" t="s">
        <v>163</v>
      </c>
    </row>
    <row r="180" spans="1:1" x14ac:dyDescent="0.25">
      <c r="A180" t="s">
        <v>164</v>
      </c>
    </row>
    <row r="181" spans="1:1" x14ac:dyDescent="0.25">
      <c r="A181" t="s">
        <v>165</v>
      </c>
    </row>
    <row r="182" spans="1:1" x14ac:dyDescent="0.25">
      <c r="A182" t="s">
        <v>166</v>
      </c>
    </row>
    <row r="183" spans="1:1" x14ac:dyDescent="0.25">
      <c r="A183" t="s">
        <v>167</v>
      </c>
    </row>
    <row r="184" spans="1:1" x14ac:dyDescent="0.25">
      <c r="A184" t="s">
        <v>168</v>
      </c>
    </row>
    <row r="185" spans="1:1" x14ac:dyDescent="0.25">
      <c r="A185" t="s">
        <v>169</v>
      </c>
    </row>
    <row r="186" spans="1:1" x14ac:dyDescent="0.25">
      <c r="A186" t="s">
        <v>170</v>
      </c>
    </row>
    <row r="187" spans="1:1" x14ac:dyDescent="0.25">
      <c r="A187" t="s">
        <v>171</v>
      </c>
    </row>
    <row r="188" spans="1:1" x14ac:dyDescent="0.25">
      <c r="A188" t="s">
        <v>172</v>
      </c>
    </row>
    <row r="189" spans="1:1" x14ac:dyDescent="0.25">
      <c r="A189" t="s">
        <v>173</v>
      </c>
    </row>
    <row r="190" spans="1:1" x14ac:dyDescent="0.25">
      <c r="A190" t="s">
        <v>174</v>
      </c>
    </row>
    <row r="191" spans="1:1" x14ac:dyDescent="0.25">
      <c r="A191" t="s">
        <v>175</v>
      </c>
    </row>
    <row r="192" spans="1:1" x14ac:dyDescent="0.25">
      <c r="A192" t="s">
        <v>176</v>
      </c>
    </row>
    <row r="193" spans="1:1" x14ac:dyDescent="0.25">
      <c r="A193" t="s">
        <v>177</v>
      </c>
    </row>
    <row r="194" spans="1:1" x14ac:dyDescent="0.25">
      <c r="A194" t="s">
        <v>178</v>
      </c>
    </row>
    <row r="195" spans="1:1" x14ac:dyDescent="0.25">
      <c r="A195" t="s">
        <v>179</v>
      </c>
    </row>
    <row r="196" spans="1:1" x14ac:dyDescent="0.25">
      <c r="A196" t="s">
        <v>180</v>
      </c>
    </row>
    <row r="197" spans="1:1" x14ac:dyDescent="0.25">
      <c r="A197" t="s">
        <v>181</v>
      </c>
    </row>
    <row r="198" spans="1:1" x14ac:dyDescent="0.25">
      <c r="A198" t="s">
        <v>182</v>
      </c>
    </row>
    <row r="199" spans="1:1" x14ac:dyDescent="0.25">
      <c r="A199" t="s">
        <v>183</v>
      </c>
    </row>
    <row r="200" spans="1:1" x14ac:dyDescent="0.25">
      <c r="A200" t="s">
        <v>184</v>
      </c>
    </row>
    <row r="201" spans="1:1" x14ac:dyDescent="0.25">
      <c r="A201" t="s">
        <v>185</v>
      </c>
    </row>
    <row r="202" spans="1:1" x14ac:dyDescent="0.25">
      <c r="A202" t="s">
        <v>186</v>
      </c>
    </row>
    <row r="203" spans="1:1" x14ac:dyDescent="0.25">
      <c r="A203" t="s">
        <v>187</v>
      </c>
    </row>
    <row r="204" spans="1:1" x14ac:dyDescent="0.25">
      <c r="A204" t="s">
        <v>188</v>
      </c>
    </row>
    <row r="205" spans="1:1" x14ac:dyDescent="0.25">
      <c r="A205" t="s">
        <v>189</v>
      </c>
    </row>
    <row r="206" spans="1:1" x14ac:dyDescent="0.25">
      <c r="A206" t="s">
        <v>190</v>
      </c>
    </row>
    <row r="207" spans="1:1" x14ac:dyDescent="0.25">
      <c r="A207" t="s">
        <v>191</v>
      </c>
    </row>
    <row r="208" spans="1:1" x14ac:dyDescent="0.25">
      <c r="A208" t="s">
        <v>192</v>
      </c>
    </row>
    <row r="209" spans="1:1" x14ac:dyDescent="0.25">
      <c r="A209" t="s">
        <v>193</v>
      </c>
    </row>
    <row r="210" spans="1:1" x14ac:dyDescent="0.25">
      <c r="A210" t="s">
        <v>194</v>
      </c>
    </row>
    <row r="211" spans="1:1" x14ac:dyDescent="0.25">
      <c r="A211" t="s">
        <v>195</v>
      </c>
    </row>
    <row r="212" spans="1:1" x14ac:dyDescent="0.25">
      <c r="A212" t="s">
        <v>196</v>
      </c>
    </row>
    <row r="213" spans="1:1" x14ac:dyDescent="0.25">
      <c r="A213" t="s">
        <v>197</v>
      </c>
    </row>
    <row r="214" spans="1:1" x14ac:dyDescent="0.25">
      <c r="A214" t="s">
        <v>198</v>
      </c>
    </row>
    <row r="215" spans="1:1" x14ac:dyDescent="0.25">
      <c r="A215" t="s">
        <v>199</v>
      </c>
    </row>
    <row r="216" spans="1:1" x14ac:dyDescent="0.25">
      <c r="A216" t="s">
        <v>200</v>
      </c>
    </row>
    <row r="217" spans="1:1" x14ac:dyDescent="0.25">
      <c r="A217" t="s">
        <v>201</v>
      </c>
    </row>
    <row r="218" spans="1:1" x14ac:dyDescent="0.25">
      <c r="A218" t="s">
        <v>202</v>
      </c>
    </row>
    <row r="219" spans="1:1" x14ac:dyDescent="0.25">
      <c r="A219" t="s">
        <v>203</v>
      </c>
    </row>
    <row r="220" spans="1:1" x14ac:dyDescent="0.25">
      <c r="A220" t="s">
        <v>204</v>
      </c>
    </row>
    <row r="221" spans="1:1" x14ac:dyDescent="0.25">
      <c r="A221" t="s">
        <v>205</v>
      </c>
    </row>
    <row r="222" spans="1:1" x14ac:dyDescent="0.25">
      <c r="A222" t="s">
        <v>206</v>
      </c>
    </row>
    <row r="223" spans="1:1" x14ac:dyDescent="0.25">
      <c r="A223" t="s">
        <v>207</v>
      </c>
    </row>
    <row r="224" spans="1:1" x14ac:dyDescent="0.25">
      <c r="A224" t="s">
        <v>208</v>
      </c>
    </row>
    <row r="225" spans="1:1" x14ac:dyDescent="0.25">
      <c r="A225" t="s">
        <v>209</v>
      </c>
    </row>
    <row r="226" spans="1:1" x14ac:dyDescent="0.25">
      <c r="A226" t="s">
        <v>210</v>
      </c>
    </row>
    <row r="227" spans="1:1" x14ac:dyDescent="0.25">
      <c r="A227" t="s">
        <v>211</v>
      </c>
    </row>
    <row r="228" spans="1:1" x14ac:dyDescent="0.25">
      <c r="A228" t="s">
        <v>212</v>
      </c>
    </row>
    <row r="229" spans="1:1" x14ac:dyDescent="0.25">
      <c r="A229" t="s">
        <v>213</v>
      </c>
    </row>
    <row r="230" spans="1:1" x14ac:dyDescent="0.25">
      <c r="A230" t="s">
        <v>214</v>
      </c>
    </row>
    <row r="231" spans="1:1" x14ac:dyDescent="0.25">
      <c r="A231" t="s">
        <v>215</v>
      </c>
    </row>
    <row r="232" spans="1:1" x14ac:dyDescent="0.25">
      <c r="A232" t="s">
        <v>216</v>
      </c>
    </row>
    <row r="233" spans="1:1" x14ac:dyDescent="0.25">
      <c r="A233" t="s">
        <v>217</v>
      </c>
    </row>
    <row r="234" spans="1:1" x14ac:dyDescent="0.25">
      <c r="A234" t="s">
        <v>218</v>
      </c>
    </row>
    <row r="235" spans="1:1" x14ac:dyDescent="0.25">
      <c r="A235" t="s">
        <v>219</v>
      </c>
    </row>
    <row r="236" spans="1:1" x14ac:dyDescent="0.25">
      <c r="A236" t="s">
        <v>220</v>
      </c>
    </row>
    <row r="237" spans="1:1" x14ac:dyDescent="0.25">
      <c r="A237" t="s">
        <v>221</v>
      </c>
    </row>
    <row r="238" spans="1:1" x14ac:dyDescent="0.25">
      <c r="A238" t="s">
        <v>222</v>
      </c>
    </row>
    <row r="239" spans="1:1" x14ac:dyDescent="0.25">
      <c r="A239" t="s">
        <v>223</v>
      </c>
    </row>
    <row r="240" spans="1:1" x14ac:dyDescent="0.25">
      <c r="A240" t="s">
        <v>224</v>
      </c>
    </row>
    <row r="241" spans="1:1" x14ac:dyDescent="0.25">
      <c r="A241" t="s">
        <v>225</v>
      </c>
    </row>
    <row r="242" spans="1:1" x14ac:dyDescent="0.25">
      <c r="A242" t="s">
        <v>226</v>
      </c>
    </row>
    <row r="243" spans="1:1" x14ac:dyDescent="0.25">
      <c r="A243" t="s">
        <v>227</v>
      </c>
    </row>
    <row r="244" spans="1:1" x14ac:dyDescent="0.25">
      <c r="A244" t="s">
        <v>228</v>
      </c>
    </row>
    <row r="245" spans="1:1" x14ac:dyDescent="0.25">
      <c r="A245" t="s">
        <v>229</v>
      </c>
    </row>
    <row r="246" spans="1:1" x14ac:dyDescent="0.25">
      <c r="A246" t="s">
        <v>230</v>
      </c>
    </row>
    <row r="247" spans="1:1" x14ac:dyDescent="0.25">
      <c r="A247" t="s">
        <v>231</v>
      </c>
    </row>
    <row r="248" spans="1:1" x14ac:dyDescent="0.25">
      <c r="A248" t="s">
        <v>232</v>
      </c>
    </row>
    <row r="249" spans="1:1" x14ac:dyDescent="0.25">
      <c r="A249" t="s">
        <v>233</v>
      </c>
    </row>
    <row r="250" spans="1:1" x14ac:dyDescent="0.25">
      <c r="A250" t="s">
        <v>234</v>
      </c>
    </row>
    <row r="251" spans="1:1" x14ac:dyDescent="0.25">
      <c r="A251" t="s">
        <v>235</v>
      </c>
    </row>
    <row r="252" spans="1:1" x14ac:dyDescent="0.25">
      <c r="A252" t="s">
        <v>236</v>
      </c>
    </row>
    <row r="253" spans="1:1" x14ac:dyDescent="0.25">
      <c r="A253" t="s">
        <v>237</v>
      </c>
    </row>
    <row r="254" spans="1:1" x14ac:dyDescent="0.25">
      <c r="A254" t="s">
        <v>238</v>
      </c>
    </row>
    <row r="255" spans="1:1" x14ac:dyDescent="0.25">
      <c r="A255" t="s">
        <v>239</v>
      </c>
    </row>
  </sheetData>
  <pageMargins left="0.7" right="0.7" top="0.75" bottom="0.75" header="0.3" footer="0.3"/>
  <drawing r:id="rId1"/>
  <legacyDrawing r:id="rId2"/>
  <controls>
    <mc:AlternateContent xmlns:mc="http://schemas.openxmlformats.org/markup-compatibility/2006">
      <mc:Choice Requires="x14">
        <control shapeId="11266" r:id="rId3" name="CommandButton2">
          <controlPr defaultSize="0" autoLine="0" r:id="rId4">
            <anchor moveWithCells="1">
              <from>
                <xdr:col>3</xdr:col>
                <xdr:colOff>276225</xdr:colOff>
                <xdr:row>8</xdr:row>
                <xdr:rowOff>47625</xdr:rowOff>
              </from>
              <to>
                <xdr:col>5</xdr:col>
                <xdr:colOff>552450</xdr:colOff>
                <xdr:row>10</xdr:row>
                <xdr:rowOff>0</xdr:rowOff>
              </to>
            </anchor>
          </controlPr>
        </control>
      </mc:Choice>
      <mc:Fallback>
        <control shapeId="11266" r:id="rId3" name="CommandButton2"/>
      </mc:Fallback>
    </mc:AlternateContent>
    <mc:AlternateContent xmlns:mc="http://schemas.openxmlformats.org/markup-compatibility/2006">
      <mc:Choice Requires="x14">
        <control shapeId="11265" r:id="rId5" name="CommandButton1">
          <controlPr defaultSize="0" autoLine="0" r:id="rId6">
            <anchor moveWithCells="1">
              <from>
                <xdr:col>7</xdr:col>
                <xdr:colOff>152400</xdr:colOff>
                <xdr:row>1</xdr:row>
                <xdr:rowOff>95250</xdr:rowOff>
              </from>
              <to>
                <xdr:col>9</xdr:col>
                <xdr:colOff>323850</xdr:colOff>
                <xdr:row>4</xdr:row>
                <xdr:rowOff>28575</xdr:rowOff>
              </to>
            </anchor>
          </controlPr>
        </control>
      </mc:Choice>
      <mc:Fallback>
        <control shapeId="11265" r:id="rId5" name="CommandButton1"/>
      </mc:Fallback>
    </mc:AlternateContent>
    <mc:AlternateContent xmlns:mc="http://schemas.openxmlformats.org/markup-compatibility/2006">
      <mc:Choice Requires="x14">
        <control shapeId="11267" r:id="rId7" name="CommandButton3">
          <controlPr defaultSize="0" autoLine="0" r:id="rId8">
            <anchor moveWithCells="1">
              <from>
                <xdr:col>7</xdr:col>
                <xdr:colOff>104775</xdr:colOff>
                <xdr:row>10</xdr:row>
                <xdr:rowOff>114300</xdr:rowOff>
              </from>
              <to>
                <xdr:col>9</xdr:col>
                <xdr:colOff>171450</xdr:colOff>
                <xdr:row>13</xdr:row>
                <xdr:rowOff>0</xdr:rowOff>
              </to>
            </anchor>
          </controlPr>
        </control>
      </mc:Choice>
      <mc:Fallback>
        <control shapeId="11267" r:id="rId7" name="CommandButton3"/>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H28"/>
  <sheetViews>
    <sheetView topLeftCell="A13" workbookViewId="0">
      <selection activeCell="F9" sqref="F9:F10"/>
    </sheetView>
  </sheetViews>
  <sheetFormatPr baseColWidth="10" defaultRowHeight="15" x14ac:dyDescent="0.25"/>
  <cols>
    <col min="1" max="1" width="45.85546875" customWidth="1"/>
    <col min="2" max="2" width="27.28515625" bestFit="1" customWidth="1"/>
    <col min="6" max="6" width="26.140625" bestFit="1" customWidth="1"/>
  </cols>
  <sheetData>
    <row r="1" spans="1:8" x14ac:dyDescent="0.25">
      <c r="A1" s="45" t="s">
        <v>304</v>
      </c>
      <c r="B1" s="45"/>
      <c r="C1" s="45"/>
      <c r="D1" s="45"/>
      <c r="E1" s="45"/>
      <c r="F1" s="45"/>
      <c r="G1" s="19"/>
      <c r="H1" s="19"/>
    </row>
    <row r="2" spans="1:8" x14ac:dyDescent="0.25">
      <c r="A2" t="s">
        <v>242</v>
      </c>
      <c r="B2" t="str">
        <f>SortString(A2, "False")</f>
        <v xml:space="preserve">tsrrrrpnmieeeeeddcccaaaaa   </v>
      </c>
    </row>
    <row r="3" spans="1:8" x14ac:dyDescent="0.25">
      <c r="A3" t="s">
        <v>243</v>
      </c>
      <c r="B3" t="str">
        <f t="shared" ref="B3:B4" si="0">SortString(A3, "False")</f>
        <v xml:space="preserve">utssrrnngeeeeedddcccaaaaa   </v>
      </c>
    </row>
    <row r="4" spans="1:8" x14ac:dyDescent="0.25">
      <c r="A4" t="s">
        <v>244</v>
      </c>
      <c r="B4" t="str">
        <f t="shared" si="0"/>
        <v xml:space="preserve">ttsrrrrneeeeeeddccccaaaaa   </v>
      </c>
    </row>
    <row r="5" spans="1:8" x14ac:dyDescent="0.25">
      <c r="A5" t="s">
        <v>245</v>
      </c>
      <c r="B5" t="str">
        <f>SortString(A5, "True")</f>
        <v xml:space="preserve">   aaaaaaccccddeeeenrrrsttu</v>
      </c>
    </row>
    <row r="6" spans="1:8" x14ac:dyDescent="0.25">
      <c r="A6" t="s">
        <v>246</v>
      </c>
      <c r="B6" t="str">
        <f t="shared" ref="B6:B7" si="1">SortString(A6, "True")</f>
        <v xml:space="preserve">   aaaaacccddeeeeinnqrrsttu</v>
      </c>
    </row>
    <row r="7" spans="1:8" x14ac:dyDescent="0.25">
      <c r="A7" t="s">
        <v>247</v>
      </c>
      <c r="B7" t="str">
        <f t="shared" si="1"/>
        <v xml:space="preserve">   aaaaacccddeeeeenrrssttx</v>
      </c>
    </row>
    <row r="8" spans="1:8" x14ac:dyDescent="0.25">
      <c r="F8" t="s">
        <v>248</v>
      </c>
    </row>
    <row r="9" spans="1:8" x14ac:dyDescent="0.25">
      <c r="E9">
        <v>4</v>
      </c>
      <c r="F9" s="44">
        <f>MiSuma(E9:E10)</f>
        <v>11</v>
      </c>
    </row>
    <row r="10" spans="1:8" x14ac:dyDescent="0.25">
      <c r="E10">
        <v>7</v>
      </c>
      <c r="F10" s="44"/>
    </row>
    <row r="12" spans="1:8" x14ac:dyDescent="0.25">
      <c r="A12" s="45" t="s">
        <v>305</v>
      </c>
      <c r="B12" s="45"/>
      <c r="C12" s="45"/>
      <c r="D12" s="45"/>
      <c r="E12" s="45"/>
      <c r="F12" s="45"/>
      <c r="G12" s="45"/>
    </row>
    <row r="13" spans="1:8" x14ac:dyDescent="0.25">
      <c r="A13" t="s">
        <v>301</v>
      </c>
    </row>
    <row r="15" spans="1:8" x14ac:dyDescent="0.25">
      <c r="A15" t="s">
        <v>249</v>
      </c>
      <c r="B15">
        <f>LEN(A13)</f>
        <v>147</v>
      </c>
    </row>
    <row r="17" spans="1:8" x14ac:dyDescent="0.25">
      <c r="A17" t="str">
        <f>Corte(A13, 100)</f>
        <v>En trigonometría, el radio (abreviado tan) de un ángulo (en un triángulo rectángulo) se define como _x000D_a razón entre el cateto opuesto y el adyacente</v>
      </c>
    </row>
    <row r="19" spans="1:8" x14ac:dyDescent="0.25">
      <c r="A19" t="s">
        <v>302</v>
      </c>
      <c r="B19" t="str">
        <f>MID(A13, 100, 2)</f>
        <v xml:space="preserve"> l</v>
      </c>
    </row>
    <row r="21" spans="1:8" x14ac:dyDescent="0.25">
      <c r="A21" s="20" t="s">
        <v>251</v>
      </c>
      <c r="B21" s="20" t="s">
        <v>252</v>
      </c>
      <c r="C21" s="20"/>
      <c r="D21" s="20"/>
      <c r="E21" s="20"/>
      <c r="F21" s="20"/>
    </row>
    <row r="22" spans="1:8" x14ac:dyDescent="0.25">
      <c r="A22" s="20" t="s">
        <v>250</v>
      </c>
      <c r="B22" s="20" t="s">
        <v>253</v>
      </c>
      <c r="C22" s="20"/>
      <c r="D22" s="20"/>
      <c r="E22" s="20"/>
      <c r="F22" s="20"/>
    </row>
    <row r="25" spans="1:8" x14ac:dyDescent="0.25">
      <c r="A25" s="39" t="s">
        <v>306</v>
      </c>
      <c r="B25" s="39"/>
      <c r="C25" s="39"/>
      <c r="D25" s="39"/>
      <c r="E25" s="39"/>
      <c r="F25" s="39"/>
      <c r="G25" s="39"/>
      <c r="H25" s="39"/>
    </row>
    <row r="26" spans="1:8" x14ac:dyDescent="0.25">
      <c r="A26" s="40" t="s">
        <v>254</v>
      </c>
      <c r="B26" s="41"/>
      <c r="C26" s="6"/>
      <c r="D26" s="6"/>
      <c r="E26" s="6"/>
      <c r="F26" s="6"/>
    </row>
    <row r="27" spans="1:8" x14ac:dyDescent="0.25">
      <c r="A27" s="6"/>
      <c r="B27" s="6"/>
      <c r="C27" s="6"/>
      <c r="D27" s="6"/>
      <c r="E27" s="6"/>
      <c r="F27" s="6"/>
    </row>
    <row r="28" spans="1:8" x14ac:dyDescent="0.25">
      <c r="A28" s="40" t="s">
        <v>307</v>
      </c>
      <c r="B28" s="6"/>
      <c r="C28" s="6"/>
      <c r="D28" s="6"/>
      <c r="E28" s="6"/>
      <c r="F28" s="6"/>
    </row>
  </sheetData>
  <mergeCells count="3">
    <mergeCell ref="F9:F10"/>
    <mergeCell ref="A1:F1"/>
    <mergeCell ref="A12:G12"/>
  </mergeCells>
  <pageMargins left="0.7" right="0.7" top="0.75" bottom="0.75" header="0.3" footer="0.3"/>
  <drawing r:id="rId1"/>
  <legacyDrawing r:id="rId2"/>
  <controls>
    <mc:AlternateContent xmlns:mc="http://schemas.openxmlformats.org/markup-compatibility/2006">
      <mc:Choice Requires="x14">
        <control shapeId="12292" r:id="rId3" name="ReemplazarCaracter">
          <controlPr defaultSize="0" autoLine="0" r:id="rId4">
            <anchor moveWithCells="1">
              <from>
                <xdr:col>2</xdr:col>
                <xdr:colOff>285750</xdr:colOff>
                <xdr:row>25</xdr:row>
                <xdr:rowOff>114300</xdr:rowOff>
              </from>
              <to>
                <xdr:col>5</xdr:col>
                <xdr:colOff>647700</xdr:colOff>
                <xdr:row>27</xdr:row>
                <xdr:rowOff>133350</xdr:rowOff>
              </to>
            </anchor>
          </controlPr>
        </control>
      </mc:Choice>
      <mc:Fallback>
        <control shapeId="12292" r:id="rId3" name="ReemplazarCaracter"/>
      </mc:Fallback>
    </mc:AlternateContent>
    <mc:AlternateContent xmlns:mc="http://schemas.openxmlformats.org/markup-compatibility/2006">
      <mc:Choice Requires="x14">
        <control shapeId="12290" r:id="rId5" name="CommandButton1">
          <controlPr defaultSize="0" autoLine="0" r:id="rId6">
            <anchor moveWithCells="1">
              <from>
                <xdr:col>2</xdr:col>
                <xdr:colOff>400050</xdr:colOff>
                <xdr:row>20</xdr:row>
                <xdr:rowOff>47625</xdr:rowOff>
              </from>
              <to>
                <xdr:col>5</xdr:col>
                <xdr:colOff>47625</xdr:colOff>
                <xdr:row>22</xdr:row>
                <xdr:rowOff>114300</xdr:rowOff>
              </to>
            </anchor>
          </controlPr>
        </control>
      </mc:Choice>
      <mc:Fallback>
        <control shapeId="12290" r:id="rId5"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E24"/>
  <sheetViews>
    <sheetView workbookViewId="0">
      <selection activeCell="B21" sqref="B21"/>
    </sheetView>
  </sheetViews>
  <sheetFormatPr baseColWidth="10" defaultRowHeight="15" x14ac:dyDescent="0.25"/>
  <cols>
    <col min="1" max="1" width="142" bestFit="1" customWidth="1"/>
    <col min="2" max="2" width="11.85546875" bestFit="1" customWidth="1"/>
  </cols>
  <sheetData>
    <row r="1" spans="1:5" x14ac:dyDescent="0.25">
      <c r="A1" s="21" t="s">
        <v>308</v>
      </c>
      <c r="B1" s="20"/>
      <c r="C1" s="20"/>
      <c r="D1" s="20"/>
    </row>
    <row r="2" spans="1:5" x14ac:dyDescent="0.25">
      <c r="A2" t="s">
        <v>303</v>
      </c>
    </row>
    <row r="5" spans="1:5" x14ac:dyDescent="0.25">
      <c r="A5" s="21" t="s">
        <v>309</v>
      </c>
      <c r="B5" s="20"/>
      <c r="C5" s="20"/>
      <c r="D5" s="20"/>
      <c r="E5" s="22"/>
    </row>
    <row r="6" spans="1:5" x14ac:dyDescent="0.25">
      <c r="A6" s="22"/>
      <c r="B6" s="22"/>
      <c r="C6" s="22"/>
      <c r="D6" s="22"/>
      <c r="E6" s="22"/>
    </row>
    <row r="7" spans="1:5" x14ac:dyDescent="0.25">
      <c r="A7" s="22"/>
      <c r="B7" s="22"/>
      <c r="C7" s="22"/>
      <c r="D7" s="22"/>
      <c r="E7" s="22"/>
    </row>
    <row r="8" spans="1:5" x14ac:dyDescent="0.25">
      <c r="A8" s="22"/>
      <c r="B8" s="22"/>
      <c r="C8" s="22"/>
      <c r="D8" s="22"/>
      <c r="E8" s="22"/>
    </row>
    <row r="9" spans="1:5" x14ac:dyDescent="0.25">
      <c r="A9" s="22"/>
      <c r="B9" s="22"/>
      <c r="C9" s="22"/>
      <c r="D9" s="22"/>
      <c r="E9" s="22"/>
    </row>
    <row r="10" spans="1:5" x14ac:dyDescent="0.25">
      <c r="A10" s="22"/>
      <c r="B10" s="22"/>
      <c r="C10" s="22"/>
      <c r="D10" s="22"/>
      <c r="E10" s="22"/>
    </row>
    <row r="11" spans="1:5" x14ac:dyDescent="0.25">
      <c r="A11" s="22"/>
      <c r="B11" s="22"/>
      <c r="C11" s="22"/>
      <c r="D11" s="22"/>
      <c r="E11" s="22"/>
    </row>
    <row r="12" spans="1:5" x14ac:dyDescent="0.25">
      <c r="A12" s="22"/>
      <c r="B12" s="22"/>
      <c r="C12" s="22"/>
      <c r="D12" s="22"/>
      <c r="E12" s="22"/>
    </row>
    <row r="13" spans="1:5" x14ac:dyDescent="0.25">
      <c r="A13" s="22"/>
      <c r="B13" s="22"/>
      <c r="C13" s="22"/>
      <c r="D13" s="22"/>
      <c r="E13" s="22"/>
    </row>
    <row r="15" spans="1:5" x14ac:dyDescent="0.25">
      <c r="A15" s="21" t="s">
        <v>311</v>
      </c>
      <c r="B15" s="21"/>
      <c r="C15" s="21"/>
      <c r="D15" s="21"/>
    </row>
    <row r="16" spans="1:5" x14ac:dyDescent="0.25">
      <c r="A16" t="s">
        <v>255</v>
      </c>
      <c r="B16" t="str">
        <f>MID(A16,SEARCH("&gt;",A16)+1,LEN(A16)-SEARCH("&gt;",A16)-4)</f>
        <v xml:space="preserve"> texto a extraer cualquiera </v>
      </c>
      <c r="E16" t="s">
        <v>256</v>
      </c>
    </row>
    <row r="17" spans="1:5" x14ac:dyDescent="0.25">
      <c r="B17" t="str">
        <f>SUBSTITUTE(MID(A16, FIND("&gt;", A16)+1,999),"&lt;123",)</f>
        <v xml:space="preserve"> texto a extraer cualquiera </v>
      </c>
      <c r="E17" t="s">
        <v>257</v>
      </c>
    </row>
    <row r="19" spans="1:5" x14ac:dyDescent="0.25">
      <c r="A19" s="21" t="s">
        <v>310</v>
      </c>
      <c r="B19" s="21"/>
      <c r="C19" s="21"/>
      <c r="D19" s="21"/>
    </row>
    <row r="20" spans="1:5" x14ac:dyDescent="0.25">
      <c r="A20" t="s">
        <v>259</v>
      </c>
    </row>
    <row r="21" spans="1:5" x14ac:dyDescent="0.25">
      <c r="A21" t="s">
        <v>258</v>
      </c>
      <c r="B21" t="str">
        <f>SoloTexto(A21)</f>
        <v>ZAZA,ZAZA,ZAZA, ZAZA, ZAZA</v>
      </c>
    </row>
    <row r="24" spans="1:5" x14ac:dyDescent="0.25">
      <c r="A24" s="21" t="s">
        <v>312</v>
      </c>
      <c r="B24" s="20"/>
      <c r="C24" s="20"/>
      <c r="D24" s="20"/>
    </row>
  </sheetData>
  <pageMargins left="0.7" right="0.7" top="0.75" bottom="0.75" header="0.3" footer="0.3"/>
  <drawing r:id="rId1"/>
  <legacyDrawing r:id="rId2"/>
  <controls>
    <mc:AlternateContent xmlns:mc="http://schemas.openxmlformats.org/markup-compatibility/2006">
      <mc:Choice Requires="x14">
        <control shapeId="13320" r:id="rId3" name="LeerFicheroComprueba">
          <controlPr defaultSize="0" autoLine="0" r:id="rId4">
            <anchor moveWithCells="1">
              <from>
                <xdr:col>1</xdr:col>
                <xdr:colOff>152400</xdr:colOff>
                <xdr:row>23</xdr:row>
                <xdr:rowOff>28575</xdr:rowOff>
              </from>
              <to>
                <xdr:col>4</xdr:col>
                <xdr:colOff>304800</xdr:colOff>
                <xdr:row>25</xdr:row>
                <xdr:rowOff>38100</xdr:rowOff>
              </to>
            </anchor>
          </controlPr>
        </control>
      </mc:Choice>
      <mc:Fallback>
        <control shapeId="13320" r:id="rId3" name="LeerFicheroComprueba"/>
      </mc:Fallback>
    </mc:AlternateContent>
    <mc:AlternateContent xmlns:mc="http://schemas.openxmlformats.org/markup-compatibility/2006">
      <mc:Choice Requires="x14">
        <control shapeId="13313" r:id="rId5" name="EliminarEspacios">
          <controlPr defaultSize="0" autoLine="0" r:id="rId6">
            <anchor moveWithCells="1">
              <from>
                <xdr:col>1</xdr:col>
                <xdr:colOff>247650</xdr:colOff>
                <xdr:row>0</xdr:row>
                <xdr:rowOff>142875</xdr:rowOff>
              </from>
              <to>
                <xdr:col>3</xdr:col>
                <xdr:colOff>409575</xdr:colOff>
                <xdr:row>2</xdr:row>
                <xdr:rowOff>180975</xdr:rowOff>
              </to>
            </anchor>
          </controlPr>
        </control>
      </mc:Choice>
      <mc:Fallback>
        <control shapeId="13313" r:id="rId5" name="EliminarEspacios"/>
      </mc:Fallback>
    </mc:AlternateContent>
    <mc:AlternateContent xmlns:mc="http://schemas.openxmlformats.org/markup-compatibility/2006">
      <mc:Choice Requires="x14">
        <control shapeId="13314" r:id="rId7" name="AnadirListaPers">
          <controlPr defaultSize="0" autoLine="0" r:id="rId8">
            <anchor moveWithCells="1">
              <from>
                <xdr:col>1</xdr:col>
                <xdr:colOff>133350</xdr:colOff>
                <xdr:row>4</xdr:row>
                <xdr:rowOff>76200</xdr:rowOff>
              </from>
              <to>
                <xdr:col>3</xdr:col>
                <xdr:colOff>142875</xdr:colOff>
                <xdr:row>6</xdr:row>
                <xdr:rowOff>123825</xdr:rowOff>
              </to>
            </anchor>
          </controlPr>
        </control>
      </mc:Choice>
      <mc:Fallback>
        <control shapeId="13314" r:id="rId7" name="AnadirListaPers"/>
      </mc:Fallback>
    </mc:AlternateContent>
    <mc:AlternateContent xmlns:mc="http://schemas.openxmlformats.org/markup-compatibility/2006">
      <mc:Choice Requires="x14">
        <control shapeId="13315" r:id="rId9" name="InsertarListaPers">
          <controlPr defaultSize="0" autoLine="0" r:id="rId10">
            <anchor moveWithCells="1">
              <from>
                <xdr:col>1</xdr:col>
                <xdr:colOff>133350</xdr:colOff>
                <xdr:row>7</xdr:row>
                <xdr:rowOff>19050</xdr:rowOff>
              </from>
              <to>
                <xdr:col>4</xdr:col>
                <xdr:colOff>342900</xdr:colOff>
                <xdr:row>9</xdr:row>
                <xdr:rowOff>9525</xdr:rowOff>
              </to>
            </anchor>
          </controlPr>
        </control>
      </mc:Choice>
      <mc:Fallback>
        <control shapeId="13315" r:id="rId9" name="InsertarListaPers"/>
      </mc:Fallback>
    </mc:AlternateContent>
    <mc:AlternateContent xmlns:mc="http://schemas.openxmlformats.org/markup-compatibility/2006">
      <mc:Choice Requires="x14">
        <control shapeId="13318" r:id="rId11" name="ComboBox1">
          <controlPr defaultSize="0" autoLine="0" r:id="rId12">
            <anchor moveWithCells="1">
              <from>
                <xdr:col>0</xdr:col>
                <xdr:colOff>5819775</xdr:colOff>
                <xdr:row>6</xdr:row>
                <xdr:rowOff>133350</xdr:rowOff>
              </from>
              <to>
                <xdr:col>0</xdr:col>
                <xdr:colOff>7781925</xdr:colOff>
                <xdr:row>8</xdr:row>
                <xdr:rowOff>57150</xdr:rowOff>
              </to>
            </anchor>
          </controlPr>
        </control>
      </mc:Choice>
      <mc:Fallback>
        <control shapeId="13318" r:id="rId11" name="ComboBox1"/>
      </mc:Fallback>
    </mc:AlternateContent>
    <mc:AlternateContent xmlns:mc="http://schemas.openxmlformats.org/markup-compatibility/2006">
      <mc:Choice Requires="x14">
        <control shapeId="13319" r:id="rId13" name="ResetearItem">
          <controlPr defaultSize="0" autoLine="0" r:id="rId14">
            <anchor moveWithCells="1">
              <from>
                <xdr:col>1</xdr:col>
                <xdr:colOff>104775</xdr:colOff>
                <xdr:row>10</xdr:row>
                <xdr:rowOff>0</xdr:rowOff>
              </from>
              <to>
                <xdr:col>3</xdr:col>
                <xdr:colOff>295275</xdr:colOff>
                <xdr:row>12</xdr:row>
                <xdr:rowOff>9525</xdr:rowOff>
              </to>
            </anchor>
          </controlPr>
        </control>
      </mc:Choice>
      <mc:Fallback>
        <control shapeId="13319" r:id="rId13" name="ResetearItem"/>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G27"/>
  <sheetViews>
    <sheetView topLeftCell="A10" workbookViewId="0">
      <selection activeCell="A26" sqref="A26"/>
    </sheetView>
  </sheetViews>
  <sheetFormatPr baseColWidth="10" defaultRowHeight="15" x14ac:dyDescent="0.25"/>
  <cols>
    <col min="1" max="1" width="95" customWidth="1"/>
    <col min="2" max="2" width="17.140625" bestFit="1" customWidth="1"/>
    <col min="3" max="3" width="17.85546875" bestFit="1" customWidth="1"/>
    <col min="4" max="4" width="14.140625" bestFit="1" customWidth="1"/>
    <col min="5" max="5" width="14.5703125" bestFit="1" customWidth="1"/>
    <col min="6" max="6" width="19.140625" bestFit="1" customWidth="1"/>
    <col min="7" max="7" width="13.85546875" bestFit="1" customWidth="1"/>
  </cols>
  <sheetData>
    <row r="1" spans="1:7" x14ac:dyDescent="0.25">
      <c r="A1" s="21" t="s">
        <v>313</v>
      </c>
      <c r="B1" s="42"/>
      <c r="C1" s="21"/>
      <c r="D1" s="21"/>
      <c r="E1" s="21"/>
      <c r="F1" s="21"/>
      <c r="G1" s="21"/>
    </row>
    <row r="2" spans="1:7" x14ac:dyDescent="0.25">
      <c r="A2" t="s">
        <v>266</v>
      </c>
      <c r="B2" t="s">
        <v>261</v>
      </c>
      <c r="C2" t="s">
        <v>267</v>
      </c>
      <c r="D2" t="s">
        <v>262</v>
      </c>
      <c r="E2" t="s">
        <v>263</v>
      </c>
      <c r="F2" t="s">
        <v>264</v>
      </c>
      <c r="G2" t="s">
        <v>265</v>
      </c>
    </row>
    <row r="3" spans="1:7" x14ac:dyDescent="0.25">
      <c r="A3" s="43" t="s">
        <v>322</v>
      </c>
    </row>
    <row r="4" spans="1:7" x14ac:dyDescent="0.25">
      <c r="A4" s="43">
        <f>LEN(A2)</f>
        <v>102</v>
      </c>
    </row>
    <row r="5" spans="1:7" ht="75" x14ac:dyDescent="0.25">
      <c r="A5" s="16" t="s">
        <v>260</v>
      </c>
    </row>
    <row r="8" spans="1:7" x14ac:dyDescent="0.25">
      <c r="A8" s="21" t="s">
        <v>268</v>
      </c>
    </row>
    <row r="9" spans="1:7" x14ac:dyDescent="0.25">
      <c r="A9" t="s">
        <v>269</v>
      </c>
      <c r="B9" t="str">
        <f>TRIM(RIGHT(SUBSTITUTE(A9, " ", REPT(" ",100)),100))</f>
        <v>tesoro.</v>
      </c>
    </row>
    <row r="13" spans="1:7" x14ac:dyDescent="0.25">
      <c r="A13" s="26" t="s">
        <v>273</v>
      </c>
      <c r="B13" t="s">
        <v>275</v>
      </c>
      <c r="C13" t="str">
        <f ca="1">INDIRECT(A14)</f>
        <v>Hi</v>
      </c>
      <c r="D13">
        <f>ROW( B13)</f>
        <v>13</v>
      </c>
    </row>
    <row r="14" spans="1:7" x14ac:dyDescent="0.25">
      <c r="A14" s="26" t="s">
        <v>276</v>
      </c>
      <c r="B14" t="s">
        <v>274</v>
      </c>
    </row>
    <row r="15" spans="1:7" x14ac:dyDescent="0.25">
      <c r="A15" s="26" t="s">
        <v>272</v>
      </c>
      <c r="B15" t="s">
        <v>277</v>
      </c>
    </row>
    <row r="16" spans="1:7" x14ac:dyDescent="0.25">
      <c r="A16" s="26">
        <v>12345</v>
      </c>
      <c r="B16" t="s">
        <v>278</v>
      </c>
    </row>
    <row r="21" spans="1:1" x14ac:dyDescent="0.25">
      <c r="A21" s="21" t="s">
        <v>279</v>
      </c>
    </row>
    <row r="22" spans="1:1" x14ac:dyDescent="0.25">
      <c r="A22" t="s">
        <v>269</v>
      </c>
    </row>
    <row r="23" spans="1:1" x14ac:dyDescent="0.25">
      <c r="A23" t="str">
        <f>LEFT(A22, LEN(A22)-5)</f>
        <v>Con el tiempo lo que hoy es dificil mañana será un te</v>
      </c>
    </row>
    <row r="25" spans="1:1" x14ac:dyDescent="0.25">
      <c r="A25" s="21" t="s">
        <v>280</v>
      </c>
    </row>
    <row r="26" spans="1:1" x14ac:dyDescent="0.25">
      <c r="A26" t="s">
        <v>269</v>
      </c>
    </row>
    <row r="27" spans="1:1" x14ac:dyDescent="0.25">
      <c r="A27" t="b">
        <f>COUNTIF(A26, "*tesoro*")=1</f>
        <v>1</v>
      </c>
    </row>
  </sheetData>
  <pageMargins left="0.7" right="0.7" top="0.75" bottom="0.75" header="0.3" footer="0.3"/>
  <drawing r:id="rId1"/>
  <legacyDrawing r:id="rId2"/>
  <controls>
    <mc:AlternateContent xmlns:mc="http://schemas.openxmlformats.org/markup-compatibility/2006">
      <mc:Choice Requires="x14">
        <control shapeId="14337" r:id="rId3" name="Parse20PerCell">
          <controlPr defaultSize="0" autoLine="0" r:id="rId4">
            <anchor moveWithCells="1">
              <from>
                <xdr:col>3</xdr:col>
                <xdr:colOff>190500</xdr:colOff>
                <xdr:row>4</xdr:row>
                <xdr:rowOff>161925</xdr:rowOff>
              </from>
              <to>
                <xdr:col>5</xdr:col>
                <xdr:colOff>323850</xdr:colOff>
                <xdr:row>4</xdr:row>
                <xdr:rowOff>742950</xdr:rowOff>
              </to>
            </anchor>
          </controlPr>
        </control>
      </mc:Choice>
      <mc:Fallback>
        <control shapeId="14337" r:id="rId3" name="Parse20PerCell"/>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L22"/>
  <sheetViews>
    <sheetView tabSelected="1" workbookViewId="0">
      <selection activeCell="G12" sqref="G12"/>
    </sheetView>
  </sheetViews>
  <sheetFormatPr baseColWidth="10" defaultRowHeight="15" x14ac:dyDescent="0.25"/>
  <cols>
    <col min="1" max="1" width="27.5703125" bestFit="1" customWidth="1"/>
    <col min="2" max="2" width="12.28515625" bestFit="1" customWidth="1"/>
    <col min="3" max="3" width="15.140625" bestFit="1" customWidth="1"/>
    <col min="4" max="4" width="14.7109375" bestFit="1" customWidth="1"/>
    <col min="5" max="5" width="17.42578125" bestFit="1" customWidth="1"/>
    <col min="6" max="6" width="14.7109375" bestFit="1" customWidth="1"/>
    <col min="7" max="7" width="17.42578125" bestFit="1" customWidth="1"/>
  </cols>
  <sheetData>
    <row r="1" spans="1:12" ht="25.5" x14ac:dyDescent="0.5">
      <c r="A1" s="25" t="s">
        <v>281</v>
      </c>
      <c r="C1" s="24"/>
      <c r="H1" s="34" t="s">
        <v>282</v>
      </c>
    </row>
    <row r="2" spans="1:12" ht="25.5" x14ac:dyDescent="0.25">
      <c r="A2" s="23" t="s">
        <v>270</v>
      </c>
      <c r="B2" s="23">
        <v>1.333</v>
      </c>
      <c r="C2" s="24"/>
      <c r="H2" s="27" t="s">
        <v>283</v>
      </c>
    </row>
    <row r="3" spans="1:12" ht="25.5" x14ac:dyDescent="0.25">
      <c r="A3" s="23" t="s">
        <v>271</v>
      </c>
      <c r="B3" s="23">
        <v>45</v>
      </c>
      <c r="C3" s="24"/>
      <c r="H3" s="27" t="s">
        <v>284</v>
      </c>
    </row>
    <row r="4" spans="1:12" ht="25.5" x14ac:dyDescent="0.25">
      <c r="A4" s="23" t="s">
        <v>272</v>
      </c>
      <c r="B4" s="23">
        <v>10</v>
      </c>
      <c r="H4" s="27" t="s">
        <v>285</v>
      </c>
    </row>
    <row r="5" spans="1:12" ht="25.5" x14ac:dyDescent="0.25">
      <c r="A5" s="23">
        <v>5</v>
      </c>
      <c r="B5" s="23">
        <v>62</v>
      </c>
      <c r="E5">
        <f ca="1">INDIRECT("B"&amp;A5)</f>
        <v>62</v>
      </c>
      <c r="H5" s="27" t="s">
        <v>293</v>
      </c>
    </row>
    <row r="7" spans="1:12" x14ac:dyDescent="0.25">
      <c r="H7" s="33" t="s">
        <v>283</v>
      </c>
      <c r="I7" s="33" t="s">
        <v>284</v>
      </c>
      <c r="J7" s="33" t="s">
        <v>285</v>
      </c>
      <c r="K7" s="33" t="s">
        <v>293</v>
      </c>
    </row>
    <row r="8" spans="1:12" x14ac:dyDescent="0.25">
      <c r="H8" s="28" t="s">
        <v>286</v>
      </c>
      <c r="I8" s="31" t="s">
        <v>289</v>
      </c>
      <c r="J8" s="29" t="s">
        <v>294</v>
      </c>
      <c r="K8" s="28" t="s">
        <v>286</v>
      </c>
    </row>
    <row r="9" spans="1:12" x14ac:dyDescent="0.25">
      <c r="H9" s="28" t="s">
        <v>288</v>
      </c>
      <c r="I9" s="31" t="s">
        <v>290</v>
      </c>
      <c r="J9" s="29" t="s">
        <v>295</v>
      </c>
      <c r="K9" s="28" t="s">
        <v>288</v>
      </c>
    </row>
    <row r="10" spans="1:12" x14ac:dyDescent="0.25">
      <c r="E10" s="32" t="s">
        <v>298</v>
      </c>
      <c r="F10" s="37" t="s">
        <v>283</v>
      </c>
      <c r="H10" s="28" t="s">
        <v>287</v>
      </c>
      <c r="I10" s="31" t="s">
        <v>291</v>
      </c>
      <c r="J10" s="29" t="s">
        <v>296</v>
      </c>
    </row>
    <row r="11" spans="1:12" x14ac:dyDescent="0.25">
      <c r="E11" s="32" t="s">
        <v>299</v>
      </c>
      <c r="F11" s="37" t="s">
        <v>286</v>
      </c>
      <c r="H11" s="30"/>
      <c r="I11" s="29" t="s">
        <v>292</v>
      </c>
      <c r="J11" s="29" t="s">
        <v>297</v>
      </c>
    </row>
    <row r="12" spans="1:12" x14ac:dyDescent="0.25">
      <c r="J12" s="29" t="s">
        <v>291</v>
      </c>
    </row>
    <row r="13" spans="1:12" x14ac:dyDescent="0.25">
      <c r="J13" s="29" t="s">
        <v>289</v>
      </c>
    </row>
    <row r="15" spans="1:12" x14ac:dyDescent="0.25">
      <c r="B15" s="35"/>
      <c r="C15" s="36"/>
      <c r="D15" s="36"/>
      <c r="E15" s="35"/>
      <c r="F15" s="35"/>
      <c r="G15" s="35"/>
      <c r="H15" s="35"/>
      <c r="I15" s="35"/>
      <c r="J15" s="35"/>
      <c r="K15" s="35"/>
      <c r="L15" s="35"/>
    </row>
    <row r="16" spans="1:12" x14ac:dyDescent="0.25">
      <c r="B16" s="30"/>
      <c r="C16" s="30"/>
      <c r="D16" s="30"/>
      <c r="E16" s="30"/>
      <c r="F16" s="30"/>
      <c r="G16" s="30"/>
      <c r="H16" s="30"/>
      <c r="I16" s="30"/>
      <c r="J16" s="30"/>
      <c r="K16" s="30"/>
      <c r="L16" s="30"/>
    </row>
    <row r="17" spans="2:12" x14ac:dyDescent="0.25">
      <c r="B17" s="30"/>
      <c r="C17" s="30"/>
      <c r="D17" s="30"/>
      <c r="E17" s="30"/>
      <c r="F17" s="30"/>
      <c r="G17" s="30"/>
      <c r="H17" s="30"/>
      <c r="I17" s="30"/>
      <c r="J17" s="30"/>
      <c r="K17" s="30"/>
      <c r="L17" s="30"/>
    </row>
    <row r="18" spans="2:12" x14ac:dyDescent="0.25">
      <c r="B18" s="30"/>
      <c r="C18" s="30"/>
      <c r="D18" s="30"/>
      <c r="E18" s="30"/>
      <c r="F18" s="30"/>
      <c r="G18" s="30"/>
      <c r="H18" s="30"/>
      <c r="I18" s="30"/>
      <c r="J18" s="30"/>
      <c r="K18" s="30"/>
      <c r="L18" s="30"/>
    </row>
    <row r="19" spans="2:12" x14ac:dyDescent="0.25">
      <c r="B19" s="30"/>
      <c r="C19" s="30"/>
      <c r="D19" s="30"/>
      <c r="E19" s="30"/>
      <c r="F19" s="30"/>
      <c r="G19" s="30"/>
      <c r="H19" s="30"/>
      <c r="I19" s="30"/>
      <c r="J19" s="30"/>
      <c r="K19" s="30"/>
      <c r="L19" s="30"/>
    </row>
    <row r="20" spans="2:12" x14ac:dyDescent="0.25">
      <c r="B20" s="30"/>
      <c r="C20" s="30"/>
      <c r="D20" s="30"/>
      <c r="E20" s="30"/>
      <c r="F20" s="30"/>
      <c r="G20" s="30"/>
      <c r="H20" s="30"/>
      <c r="I20" s="30"/>
      <c r="J20" s="30"/>
      <c r="K20" s="30"/>
      <c r="L20" s="30"/>
    </row>
    <row r="21" spans="2:12" x14ac:dyDescent="0.25">
      <c r="B21" s="30"/>
      <c r="C21" s="30"/>
      <c r="D21" s="30"/>
      <c r="E21" s="30"/>
      <c r="F21" s="30"/>
      <c r="G21" s="30"/>
      <c r="H21" s="30"/>
      <c r="I21" s="30"/>
      <c r="J21" s="30"/>
      <c r="K21" s="30"/>
      <c r="L21" s="30"/>
    </row>
    <row r="22" spans="2:12" x14ac:dyDescent="0.25">
      <c r="B22" s="30"/>
      <c r="C22" s="30"/>
      <c r="D22" s="30"/>
      <c r="E22" s="30"/>
      <c r="F22" s="30"/>
      <c r="G22" s="30"/>
      <c r="H22" s="30"/>
      <c r="I22" s="30"/>
      <c r="J22" s="30"/>
      <c r="K22" s="30"/>
      <c r="L22" s="30"/>
    </row>
  </sheetData>
  <dataValidations count="2">
    <dataValidation type="list" allowBlank="1" showInputMessage="1" showErrorMessage="1" sqref="F10">
      <formula1>Tiendas</formula1>
    </dataValidation>
    <dataValidation type="list" allowBlank="1" showInputMessage="1" showErrorMessage="1" sqref="F11">
      <formula1>INDIRECT($F$10)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5</vt:i4>
      </vt:variant>
    </vt:vector>
  </HeadingPairs>
  <TitlesOfParts>
    <vt:vector size="19" baseType="lpstr">
      <vt:lpstr>Pr1</vt:lpstr>
      <vt:lpstr>Pr2</vt:lpstr>
      <vt:lpstr>Pr3</vt:lpstr>
      <vt:lpstr>Pr4</vt:lpstr>
      <vt:lpstr>Pr5-macro</vt:lpstr>
      <vt:lpstr>Pr6</vt:lpstr>
      <vt:lpstr>Pr7</vt:lpstr>
      <vt:lpstr>Pr8</vt:lpstr>
      <vt:lpstr>Pr9</vt:lpstr>
      <vt:lpstr>Pr10</vt:lpstr>
      <vt:lpstr>Pr11</vt:lpstr>
      <vt:lpstr>Pr12</vt:lpstr>
      <vt:lpstr>Pr13</vt:lpstr>
      <vt:lpstr>Hoja1</vt:lpstr>
      <vt:lpstr>Tienda1</vt:lpstr>
      <vt:lpstr>Tienda2</vt:lpstr>
      <vt:lpstr>Tienda3</vt:lpstr>
      <vt:lpstr>Tienda4</vt:lpstr>
      <vt:lpstr>Tiendas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Jordi</dc:creator>
  <cp:lastModifiedBy>Jordi</cp:lastModifiedBy>
  <dcterms:created xsi:type="dcterms:W3CDTF">2018-06-14T22:13:30Z</dcterms:created>
  <dcterms:modified xsi:type="dcterms:W3CDTF">2018-07-29T17:48:52Z</dcterms:modified>
</cp:coreProperties>
</file>